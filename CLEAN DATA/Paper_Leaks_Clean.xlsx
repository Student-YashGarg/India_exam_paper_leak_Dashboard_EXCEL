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E:\Desktop\EXCEL\"/>
    </mc:Choice>
  </mc:AlternateContent>
  <bookViews>
    <workbookView xWindow="0" yWindow="0" windowWidth="15345" windowHeight="5835" activeTab="3"/>
  </bookViews>
  <sheets>
    <sheet name="OVERVIEW" sheetId="2" r:id="rId1"/>
    <sheet name="DATASET" sheetId="1" r:id="rId2"/>
    <sheet name="SHEET DESIGN" sheetId="4" r:id="rId3"/>
    <sheet name="DASHBOARD" sheetId="5" r:id="rId4"/>
  </sheets>
  <definedNames>
    <definedName name="Slicer_Area_s__of_Incident">#N/A</definedName>
    <definedName name="Slicer_Conducting_Body_Type">#N/A</definedName>
    <definedName name="Slicer_Year">#N/A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L3" i="4" l="1"/>
  <c r="J3" i="4"/>
  <c r="I3" i="4"/>
  <c r="G3" i="4"/>
</calcChain>
</file>

<file path=xl/sharedStrings.xml><?xml version="1.0" encoding="utf-8"?>
<sst xmlns="http://schemas.openxmlformats.org/spreadsheetml/2006/main" count="859" uniqueCount="429">
  <si>
    <t>Date of Exam/Incident</t>
  </si>
  <si>
    <t>Exam Name</t>
  </si>
  <si>
    <t>Conducting Body</t>
  </si>
  <si>
    <t>Conducting Body Type</t>
  </si>
  <si>
    <t>Area(s) of Incident</t>
  </si>
  <si>
    <t>Leak Confirmation Status</t>
  </si>
  <si>
    <t>Action taken</t>
  </si>
  <si>
    <t>Note about action Taken</t>
  </si>
  <si>
    <t>Note about incident</t>
  </si>
  <si>
    <t xml:space="preserve">References </t>
  </si>
  <si>
    <t>Year</t>
  </si>
  <si>
    <t>Month</t>
  </si>
  <si>
    <t>Month_No</t>
  </si>
  <si>
    <t>Quarter</t>
  </si>
  <si>
    <t>2024-08-26</t>
  </si>
  <si>
    <t>B.Ed. 4th Sem Exam : Creating an Inclusive School</t>
  </si>
  <si>
    <t>Tamil Nadu Teachers Education University</t>
  </si>
  <si>
    <t>State</t>
  </si>
  <si>
    <t>Tamilnadu</t>
  </si>
  <si>
    <t>accused</t>
  </si>
  <si>
    <t>Alternative Question Paper Used</t>
  </si>
  <si>
    <t>Paper leaked on social media before exam</t>
  </si>
  <si>
    <t>TNTEU registrar relieved after reports of B.Ed exam paper leak (dtnext.in)</t>
  </si>
  <si>
    <t>August</t>
  </si>
  <si>
    <t>2024-08-04</t>
  </si>
  <si>
    <t>MBA 1st year Exam</t>
  </si>
  <si>
    <t>Pondicherry University</t>
  </si>
  <si>
    <t>Central</t>
  </si>
  <si>
    <t>Pondicherry</t>
  </si>
  <si>
    <t>confirmed</t>
  </si>
  <si>
    <t>Exam Cancelled</t>
  </si>
  <si>
    <t>Legal action against exam mafia</t>
  </si>
  <si>
    <t>Pondicherry University First-year MBBS Exam Paper Leaked, Test Postponed - News18</t>
  </si>
  <si>
    <t>2024-07-06</t>
  </si>
  <si>
    <t>Foreign Medical Graduate Examination</t>
  </si>
  <si>
    <t>National Board of Examinations in Medical Sciences (NBEMS)</t>
  </si>
  <si>
    <t>Kerala</t>
  </si>
  <si>
    <t>Legal action taken and claim dismissed</t>
  </si>
  <si>
    <t>No Rexam and checking of evidence, claim dismissed</t>
  </si>
  <si>
    <t>Paper leaked on social media</t>
  </si>
  <si>
    <t>‘So far no evidence’: Kerala Police on FMGE ‘paper leak’ | Thiruvananthapuram News - The Indian Express</t>
  </si>
  <si>
    <t>July</t>
  </si>
  <si>
    <t>2024-06-30</t>
  </si>
  <si>
    <t>Agriculture Development Officers</t>
  </si>
  <si>
    <t>Punjab Public Service Comission</t>
  </si>
  <si>
    <t>Punjab</t>
  </si>
  <si>
    <t>Unknown</t>
  </si>
  <si>
    <t>No Rexam</t>
  </si>
  <si>
    <t>Claim: Offical demanded bribe for leaking paper</t>
  </si>
  <si>
    <t>Now, ADO recruitment exam in Punjab under paper leak cloud; Opposition tears into state govt (indianexpress.com)</t>
  </si>
  <si>
    <t>June</t>
  </si>
  <si>
    <t>2024-06-18</t>
  </si>
  <si>
    <t>UGC NET 2024</t>
  </si>
  <si>
    <t>National Testing Agency</t>
  </si>
  <si>
    <t>Exam cancellation decision overruled by Supreme Court</t>
  </si>
  <si>
    <t>accusation of paper leak</t>
  </si>
  <si>
    <t>Supreme Court upholds decision to cancel UGC NET 2024 exam, allows re-examination on August 21 | Mint (livemint.com)</t>
  </si>
  <si>
    <t>2024-06-09</t>
  </si>
  <si>
    <t>ADC Recruitment Exam</t>
  </si>
  <si>
    <t>Tripura Tribal Areas Autonomous District Council</t>
  </si>
  <si>
    <t>Tripura</t>
  </si>
  <si>
    <t>Legal action taken</t>
  </si>
  <si>
    <t>No Re-exam</t>
  </si>
  <si>
    <t>Answer Key leaked before exam</t>
  </si>
  <si>
    <t>adc exam’s answer key leaked one arrested | tripuratimes</t>
  </si>
  <si>
    <t>2024-05-28</t>
  </si>
  <si>
    <t>MBA Semster Exam</t>
  </si>
  <si>
    <t>Devi Ahilya Vishwavidyalaya's (DAVV)</t>
  </si>
  <si>
    <t>Madhya Pradesh</t>
  </si>
  <si>
    <t>Legal action taken against involved people</t>
  </si>
  <si>
    <t>Indore: Question Papers Of Two Subjects Of MBA In DAVV Leaked 15 Hours Before Exam: Both Exams Cancelled (freepressjournal.in)</t>
  </si>
  <si>
    <t>May</t>
  </si>
  <si>
    <t>2024-04-28</t>
  </si>
  <si>
    <t>VIT Engineering Exam</t>
  </si>
  <si>
    <t>VIT</t>
  </si>
  <si>
    <t>Private</t>
  </si>
  <si>
    <t>Chargesheet</t>
  </si>
  <si>
    <t>Leaking of question paper via remote access at a exam center</t>
  </si>
  <si>
    <t>Engineering entrance exam: STF arrests 2 for VIT question paper leak - Hindustan Times</t>
  </si>
  <si>
    <t>April</t>
  </si>
  <si>
    <t>2024-04-16</t>
  </si>
  <si>
    <t>Teacher Recruitment Exam</t>
  </si>
  <si>
    <t>Bihar Public service Comission</t>
  </si>
  <si>
    <t>Bihar</t>
  </si>
  <si>
    <t>TRE 3.0 Paper Leak: Tre 3.0 Paper Leak Case: Five Key Accused Produced In Court | Patna News - Times of India (indiatimes.com)</t>
  </si>
  <si>
    <t>2024-03-17</t>
  </si>
  <si>
    <t>Civil Services Prelims</t>
  </si>
  <si>
    <t>Jharkhand Public Service Commission</t>
  </si>
  <si>
    <t>Jharkhand</t>
  </si>
  <si>
    <t>Reports Denied</t>
  </si>
  <si>
    <t>dissmised as fake news</t>
  </si>
  <si>
    <t>Video calimed that seal of question papers found broken</t>
  </si>
  <si>
    <t>JPSC Conducts Civil Services Prelims: JPSC Conducts Civil Services Prelims Amid Paper Leak Controversy | Ranchi News - Times of India (indiatimes.com)</t>
  </si>
  <si>
    <t>March</t>
  </si>
  <si>
    <t>2024-02-17</t>
  </si>
  <si>
    <t>Constable Exam</t>
  </si>
  <si>
    <t>Uttar Pradesh Police Recruitment and Promotion Board</t>
  </si>
  <si>
    <t>Uttar Pradesh</t>
  </si>
  <si>
    <t>Main accused in UP constable exam paper leak arrested: STF | Lucknow News - The Indian Express</t>
  </si>
  <si>
    <t>February</t>
  </si>
  <si>
    <t>2024-02-16</t>
  </si>
  <si>
    <t>High School English Exam</t>
  </si>
  <si>
    <t>Assam Board of Secondary Education</t>
  </si>
  <si>
    <t>Assam</t>
  </si>
  <si>
    <t>Claim dissmissed</t>
  </si>
  <si>
    <t>claim : question paper leaked from one center</t>
  </si>
  <si>
    <t>Assam Education Minister Ranoj Pegu Dismisses HSLC Question Paper Leak Claims - News18</t>
  </si>
  <si>
    <t>2024-02-11</t>
  </si>
  <si>
    <t>Review Officer/Assistant Review Officer</t>
  </si>
  <si>
    <t>Uttar Pradesh Public Service Comission</t>
  </si>
  <si>
    <t>Four more arrested in RO/ARO exam paper leak; Mastermind still elusive | Lucknow News - Times of India (indiatimes.com)</t>
  </si>
  <si>
    <t>2023-12-26</t>
  </si>
  <si>
    <t>B.Tech CS Question Paper 5th Sem</t>
  </si>
  <si>
    <t>Parul University</t>
  </si>
  <si>
    <t>Gujrat</t>
  </si>
  <si>
    <t>Selling of question papers</t>
  </si>
  <si>
    <t>Leaking Exam Papers: Leaking BTech Exam Papers of Parul University Vadodara - Two Arrested | Vadodara News - Times of India (indiatimes.com)</t>
  </si>
  <si>
    <t>December</t>
  </si>
  <si>
    <t>2023-12-25</t>
  </si>
  <si>
    <t>Teacher Eligibility Test</t>
  </si>
  <si>
    <t>West Bengal Board of Primary Education</t>
  </si>
  <si>
    <t>West Bengal</t>
  </si>
  <si>
    <t>dismissed claim</t>
  </si>
  <si>
    <t>Fake news suggested</t>
  </si>
  <si>
    <t>Claim : paper leak</t>
  </si>
  <si>
    <t>TET Paper Leak: Govt seeks report after TET paper leak on social media | Kolkata News - Times of India (indiatimes.com)</t>
  </si>
  <si>
    <t>2023-12-24</t>
  </si>
  <si>
    <t>Class 10 Bengali pre-board examination</t>
  </si>
  <si>
    <t>Tripura Board of Secondary Education (TBSE)</t>
  </si>
  <si>
    <t>No action taken</t>
  </si>
  <si>
    <t>Pre-board exam ‘paper leak’ in Tripura: AIDSO seeks stern action against culprits | North East India News - The Indian Express</t>
  </si>
  <si>
    <t>2023-12-22</t>
  </si>
  <si>
    <t>MBA first term exam</t>
  </si>
  <si>
    <t>Savitribai Phule Pune University</t>
  </si>
  <si>
    <t>Maharasthra</t>
  </si>
  <si>
    <t>Pune: MBA exam paper leaked on WhatsApp, case registered | Pune News - The Indian Express</t>
  </si>
  <si>
    <t>2023-10-01</t>
  </si>
  <si>
    <t>Central Selection Board of Constables, Bihar</t>
  </si>
  <si>
    <t>Legal action and other exams postponed</t>
  </si>
  <si>
    <t>SIT formed to probe into constable recruitment exam paper leak case in Bihar (newindianexpress.com)</t>
  </si>
  <si>
    <t>October</t>
  </si>
  <si>
    <t>2023-09-19</t>
  </si>
  <si>
    <t>Occupational English Test</t>
  </si>
  <si>
    <t>Private Center</t>
  </si>
  <si>
    <t>Thrissur police nab 8 Kottayam natives behind OET question paper leak | Manorama English (onmanorama.com)</t>
  </si>
  <si>
    <t>September</t>
  </si>
  <si>
    <t>2023-07-20</t>
  </si>
  <si>
    <t>BBA Exam</t>
  </si>
  <si>
    <t>Barkatullah University</t>
  </si>
  <si>
    <t>Booked involved students</t>
  </si>
  <si>
    <t>Question paper  found on the phones</t>
  </si>
  <si>
    <t>4 students booked in BU's BBA 'paper leak' case | Bhopal News - Times of India (indiatimes.com)</t>
  </si>
  <si>
    <t>2023-07-16</t>
  </si>
  <si>
    <t>Junior Engineer</t>
  </si>
  <si>
    <t>Odisha Staff Selection Commission</t>
  </si>
  <si>
    <t>Odisha</t>
  </si>
  <si>
    <t>BJP, Congress attack Odisha government over OSSC recruitment paper leak | Latest News India - Hindustan Times</t>
  </si>
  <si>
    <t>2023-06-03</t>
  </si>
  <si>
    <t>Nursing Officer Recruitment Common Eligibility Test (NORCET-4)</t>
  </si>
  <si>
    <t>AIIMS</t>
  </si>
  <si>
    <t>Students allege leak of AIIMS nursing officer exam paper | Delhi News - The Indian Express</t>
  </si>
  <si>
    <t>2023-05-18</t>
  </si>
  <si>
    <t>Class 12th English Exam</t>
  </si>
  <si>
    <t>Punjab School Education Board</t>
  </si>
  <si>
    <t>Redsitributed leaked paper 2nd time, So, again re-exam for 185 students</t>
  </si>
  <si>
    <t>Punjab School Education Board exam: Leaked question papers distributed again, Class 12 students to take exam a 3rd time | Chandigarh News - The Indian Express</t>
  </si>
  <si>
    <t>2023-04-03</t>
  </si>
  <si>
    <t>High School Hindi &amp; Telgu</t>
  </si>
  <si>
    <t>Telangana Board of intermediate Education</t>
  </si>
  <si>
    <t>Telangana</t>
  </si>
  <si>
    <t>Suspension</t>
  </si>
  <si>
    <t>Suspension of officials</t>
  </si>
  <si>
    <t>Paper leaked on Whatsapp at a school</t>
  </si>
  <si>
    <t>Class 10 question paper leaked in Telangana, 3 officials suspended - India Today</t>
  </si>
  <si>
    <t>2023-03-18</t>
  </si>
  <si>
    <t>Class 12th Exam</t>
  </si>
  <si>
    <t>Madhya Pradesh Board of Secondary Education</t>
  </si>
  <si>
    <t>Claim : question paper leaked  on social media</t>
  </si>
  <si>
    <t>Police arrests 4 accused in Madhya Pradesh Board Class 10 and 12 question paper leak case - CNBC TV18</t>
  </si>
  <si>
    <t>2023-03-06</t>
  </si>
  <si>
    <t>High School Mathematics Exam</t>
  </si>
  <si>
    <t>Exam Cancelled in exam centers where irregularties reported</t>
  </si>
  <si>
    <t>irregularties reported at some exam centers</t>
  </si>
  <si>
    <t>Assam HSLC exam cancelled after question paper leak; CM summons SEBA secretary - Hindustan Times</t>
  </si>
  <si>
    <t>2023-03-05</t>
  </si>
  <si>
    <t>Assitant Civil Engineer</t>
  </si>
  <si>
    <t>Telangana State Public Service Commission</t>
  </si>
  <si>
    <t>Telangana State Public Service Commission cancels civil exam over paper 'leak' - India Today</t>
  </si>
  <si>
    <t>2023-03-03</t>
  </si>
  <si>
    <t>Mathematics Exam</t>
  </si>
  <si>
    <t>Maharashtra State Board of Secondary and Higher Secondary Education</t>
  </si>
  <si>
    <t>Legal action against involved students, but no re-exam</t>
  </si>
  <si>
    <t>Question paper viral on social media</t>
  </si>
  <si>
    <t>Now HSC Maths paper leaked in Buldhana 30 minutes before scheduled time - Hindustan Times</t>
  </si>
  <si>
    <t>2022-12-21</t>
  </si>
  <si>
    <t>Class 2nd Teacher Recruitment : GK Question Paper</t>
  </si>
  <si>
    <t>Rajasthan Public Service Commission</t>
  </si>
  <si>
    <t>Rajasthan</t>
  </si>
  <si>
    <t>Rajasthan 2nd grade teacher recruitment exam paper leaked; 44 held - The Hindu</t>
  </si>
  <si>
    <t>2022-10-16</t>
  </si>
  <si>
    <t>Group 1 Prelims</t>
  </si>
  <si>
    <t>Group I prelims exam paper leaked to 20 persons: Police | Group I prelims exam paper leaked to 20 persons: Police (deccanchronicle.com)</t>
  </si>
  <si>
    <t>2022-09-28</t>
  </si>
  <si>
    <t>Diploma in Elementary Education</t>
  </si>
  <si>
    <t>West Bengal: D.El.Ed paper leaks an hour before exam | Kolkata News - Times of India (indiatimes.com)</t>
  </si>
  <si>
    <t>2022-09-12</t>
  </si>
  <si>
    <t>Forest Guard Recruitment</t>
  </si>
  <si>
    <t>Rajasthan Staff Selection Board</t>
  </si>
  <si>
    <t>Some candiates accessing paper before the exam</t>
  </si>
  <si>
    <t>Forest guard exam 2022 paper was leaked: Rajasthan police | Jaipur News - Times of India (indiatimes.com)</t>
  </si>
  <si>
    <t>2022-09-10</t>
  </si>
  <si>
    <t>JE</t>
  </si>
  <si>
    <t>Himachal Pradesh Staff Selection Commission</t>
  </si>
  <si>
    <t>Himachal Pradesh</t>
  </si>
  <si>
    <t>HPSSC paper leak case: Vigilance bureau SIT files fresh FIR against four persons - Hindustan Times</t>
  </si>
  <si>
    <t>2022-08-26</t>
  </si>
  <si>
    <t>Assistant Civil Engineer</t>
  </si>
  <si>
    <t>Arunachal Pradesh Public Service Commission</t>
  </si>
  <si>
    <t>Arunachal Pradesh</t>
  </si>
  <si>
    <t>Legal action</t>
  </si>
  <si>
    <t>Arunachal paper leak scam: APPSC cancels AE (Civil) recruitment exam (arunachal24.in)</t>
  </si>
  <si>
    <t>2022-07-31</t>
  </si>
  <si>
    <t>Lekhpal Exam</t>
  </si>
  <si>
    <t>The Uttar Pradesh Subordinate Services Selection Commission</t>
  </si>
  <si>
    <t>Legal action against solvers, but no re-exam</t>
  </si>
  <si>
    <t>Proxy candidates as solvers</t>
  </si>
  <si>
    <t>UP Lekhpal exam: 'Solvers', candidates among 21 arrested; Akhilesh alleges paper 'leak' – ThePrint – PTIFeed</t>
  </si>
  <si>
    <t>2022-05-08</t>
  </si>
  <si>
    <t>BPSC 67th Exam</t>
  </si>
  <si>
    <t>BPSC: BPSC 67th Paper Leak 2022, Probe Ordered by Bihar Public Service Commission | - Times of India (indiatimes.com)</t>
  </si>
  <si>
    <t>2022-03-30</t>
  </si>
  <si>
    <t>Class 12th English</t>
  </si>
  <si>
    <t>Uttar Pradesh State Board of High School and Intermediate Education</t>
  </si>
  <si>
    <t>Exam Cancelled in 24 districts</t>
  </si>
  <si>
    <t>Paper leaked on social media 5 hours before the exam</t>
  </si>
  <si>
    <t>UP Board Class 12 English paper leak case: 7 more arrested, total 24 held so far | Latest News India - Hindustan Times</t>
  </si>
  <si>
    <t>2022-03-27</t>
  </si>
  <si>
    <t>sub-inspector recruitment examination</t>
  </si>
  <si>
    <t>Jammu and Kashmir Services Selection Board</t>
  </si>
  <si>
    <t>Jammu</t>
  </si>
  <si>
    <t>ED arrests Haryana man in J&amp;K paper leak case | India News - Times of India (indiatimes.com)</t>
  </si>
  <si>
    <t>2022-02-17</t>
  </si>
  <si>
    <t>Bihar School Examination Board</t>
  </si>
  <si>
    <t>Bihar Board 10th Maths Exams Cancelled After Paper Leak, Cheating Allegations, Re-exam on March 24, Details here (indianexpress.com)</t>
  </si>
  <si>
    <t>2021-12-13</t>
  </si>
  <si>
    <t>MHADA Exam</t>
  </si>
  <si>
    <t>Maharashtra Housing and Area Development Authority</t>
  </si>
  <si>
    <t>3 Persons trying to leak paper</t>
  </si>
  <si>
    <t>MHADA cancels exam after 3 held for bid to leak question paper | Education - Hindustan Times</t>
  </si>
  <si>
    <t>2021-12-12</t>
  </si>
  <si>
    <t>Head Clerk</t>
  </si>
  <si>
    <t>Gujarat Subordinate Service Selection Board</t>
  </si>
  <si>
    <t>8 held, FIR against 11 as Gujarat govt admits to GSSSB paper leak | Gandhinagar News - The Indian Express</t>
  </si>
  <si>
    <t>2021-12-04</t>
  </si>
  <si>
    <t>UKSSSC Exam</t>
  </si>
  <si>
    <t>Uttarakhand Subordinate Staff Selection Commission</t>
  </si>
  <si>
    <t>Uttarakhand</t>
  </si>
  <si>
    <t>Five more upcoming exam cancelled</t>
  </si>
  <si>
    <t>Five recruitment exams cancelled in Uttarakhand after UKSSSC paper leak investigation - India Today</t>
  </si>
  <si>
    <t>2021-09-28</t>
  </si>
  <si>
    <t>Uttar Pradesh Teacher Eligbility Test</t>
  </si>
  <si>
    <t>Department of Basic Education, Uttar Pradesh</t>
  </si>
  <si>
    <t>UPTET paper leak: Official suspended, 1 more arrested | Lucknow News - The Indian Express</t>
  </si>
  <si>
    <t>2021-09-26</t>
  </si>
  <si>
    <t>Rajasthan Eligibility Examination for Teachers</t>
  </si>
  <si>
    <t>BOARD OF SECONDARY EDUCATION, Rajasthan</t>
  </si>
  <si>
    <t>Paper leaked even after internet shutdown</t>
  </si>
  <si>
    <t>Enforcement Directorate arrests kingpin of paper leak in Rajasthan teachers' recruitment test | India News - Times of India (indiatimes.com)</t>
  </si>
  <si>
    <t>2021-09-14</t>
  </si>
  <si>
    <t>National Law aptitude Test</t>
  </si>
  <si>
    <t>National Law School of India University</t>
  </si>
  <si>
    <t>Question leaked after exam started, so does not affect exam</t>
  </si>
  <si>
    <t>'Does Not Affect Integrity Of Exam': NLSIU On Claims Of NLAT Re-Test Paper Leak (livelaw.in)</t>
  </si>
  <si>
    <t>2021-09-02</t>
  </si>
  <si>
    <t>JEE MAINS</t>
  </si>
  <si>
    <t>Solving of question paper via remote access at a exam center</t>
  </si>
  <si>
    <t>JEE Main 2021 Paper Leak Case: What Has Happened So Far (ndtv.com)</t>
  </si>
  <si>
    <t>2021-08-06</t>
  </si>
  <si>
    <t>General Department Competitive Exam</t>
  </si>
  <si>
    <t>Railway Recruitment Board</t>
  </si>
  <si>
    <t>GDCE Exam: 11 Railway Employees Under CBI Scanner in Another Paper Leak Scandal Involving Rs 4 Lakh - News18</t>
  </si>
  <si>
    <t>2020-09-04</t>
  </si>
  <si>
    <t>2019 PSC Police Constable Exam</t>
  </si>
  <si>
    <t>Kerala Public Service Commission</t>
  </si>
  <si>
    <t>Question paper leaked on social media</t>
  </si>
  <si>
    <t>Kerala PSC question paper leak case: HC issues notice to state government - India Today</t>
  </si>
  <si>
    <t>2020-02-17</t>
  </si>
  <si>
    <t>Mathematics Prepatory Exam</t>
  </si>
  <si>
    <t>Karnataka School Examination and Assessment Board</t>
  </si>
  <si>
    <t>Karnataka</t>
  </si>
  <si>
    <t>SSLS preparatory exams: 14 students detained for maths paper leak | Bengaluru News - Times of India (indiatimes.com)</t>
  </si>
  <si>
    <t>2019-08-28</t>
  </si>
  <si>
    <t>JE Exam</t>
  </si>
  <si>
    <t>Screenshots of questions on social media</t>
  </si>
  <si>
    <t>RRB JE exam paper leak row: Two booked, question paper circulated from Thane | Jobs News - The Indian Express</t>
  </si>
  <si>
    <t>2019-02-25</t>
  </si>
  <si>
    <t>Bihar Board Class 10 Mathematics Question Paper Leaked - AglaSem News</t>
  </si>
  <si>
    <t>2019-02-24</t>
  </si>
  <si>
    <t>Mother India Language Exam</t>
  </si>
  <si>
    <t>Board of Secondary Education, Odisha</t>
  </si>
  <si>
    <t>5 school teachers arrested in Odisha Matric paper leak case for circulating images - India Today</t>
  </si>
  <si>
    <t>2018-12-09</t>
  </si>
  <si>
    <t>Gujarat Police Constable Recruitment</t>
  </si>
  <si>
    <t>Gujarat Police Recruitment Board</t>
  </si>
  <si>
    <t>3 more arrested in Gujarat Police Constable Recruitment paper leak case: Fresh exam on January 6 - India Today</t>
  </si>
  <si>
    <t>2018-12-05</t>
  </si>
  <si>
    <t>BCS-031</t>
  </si>
  <si>
    <t>Indria Gandhi National Open University</t>
  </si>
  <si>
    <t>Delhi</t>
  </si>
  <si>
    <t>Paper leaked on social media from a center</t>
  </si>
  <si>
    <t>IGNOU Question Paper Leak: Police Register FIR, Quiz Students (ndtv.com)</t>
  </si>
  <si>
    <t>2018-03-27</t>
  </si>
  <si>
    <t>10th Math and 12th Economics</t>
  </si>
  <si>
    <t>CBSE</t>
  </si>
  <si>
    <t>Students got handwritten question paper and many other irregularities reported</t>
  </si>
  <si>
    <t>CBSE Board Paper Leak 2018 Highlights: Students In Delhi Protest Against Decision To Hold Re-Examination (ndtv.com)</t>
  </si>
  <si>
    <t>2018-03-19</t>
  </si>
  <si>
    <t>History and political science</t>
  </si>
  <si>
    <t>One coaching leaked question paper before exam on their whatsapp group</t>
  </si>
  <si>
    <t>SSC paper leak: 15 students found with History exam paper on WhatsApp at Kalyan school | Mumbai news - Hindustan Times</t>
  </si>
  <si>
    <t>2018-02-21</t>
  </si>
  <si>
    <t>CGL 2nd Tier, 2017</t>
  </si>
  <si>
    <t>Staff Selection Comission</t>
  </si>
  <si>
    <t>SSC CGL paper leak case: Sify staffers among 17 booked by CBI | Education News - The Indian Express</t>
  </si>
  <si>
    <t>2017-03-14</t>
  </si>
  <si>
    <t>Class 12th CS and Physics</t>
  </si>
  <si>
    <t>Himachal Pradesh Board of School Education</t>
  </si>
  <si>
    <t>Exam Cancelled on many centers</t>
  </si>
  <si>
    <t>Exam cancelled on 1846 centers Legal action taken against involved people</t>
  </si>
  <si>
    <t>Paper stolen</t>
  </si>
  <si>
    <t>Himachal Pradesh Class 12 Board Exam Paper Leak - Careerindia</t>
  </si>
  <si>
    <t>2017-03-06</t>
  </si>
  <si>
    <t>Class 12th Marathi</t>
  </si>
  <si>
    <t>Maharashtra: Two college students arrested in HSC paper leak | Mumbai news - Hindustan Times</t>
  </si>
  <si>
    <t>2017-02-10</t>
  </si>
  <si>
    <t>HCS (Judicial) Paper -2017</t>
  </si>
  <si>
    <t>Haryana Public Service Commission</t>
  </si>
  <si>
    <t>Haryana</t>
  </si>
  <si>
    <t>Paper Leak</t>
  </si>
  <si>
    <t>2017 Haryana Judges Paper Leak Case: Prosecution Concludes Arguments, Seeks No Mercy for Accused in ‘Ghastly Act’ - News18</t>
  </si>
  <si>
    <t>2016-12-27</t>
  </si>
  <si>
    <t>Review Officer/Assistant Review Officer - 2016</t>
  </si>
  <si>
    <t>UPPSC RO/ARO 2016 Exam Cancelled @uppsc.up.nic.in, Check Here the Tentative Exam Dates (jagranjosh.com)</t>
  </si>
  <si>
    <t>2016-05-01</t>
  </si>
  <si>
    <t>NEET Phase 1 2016</t>
  </si>
  <si>
    <t>Cheating reported</t>
  </si>
  <si>
    <t>NEET Phase 1 2016: Paper leaked in Varanasi - India Today</t>
  </si>
  <si>
    <t>2015-05-25</t>
  </si>
  <si>
    <t>UP CPMT 2015</t>
  </si>
  <si>
    <t>King George's Medical University , Lucknow</t>
  </si>
  <si>
    <t>Bid to leak UP CPMT answers: 3 MBBS students arrested | Lucknow News - The Indian Express</t>
  </si>
  <si>
    <t>2015-05-03</t>
  </si>
  <si>
    <t>AIPMT 2015</t>
  </si>
  <si>
    <t>AIPMT cancelled, CBSE told to reconduct exam - India Today</t>
  </si>
  <si>
    <t>2015-03-30</t>
  </si>
  <si>
    <t>Provincial civil services preliminary examination</t>
  </si>
  <si>
    <t>Uttar Pradesh civil services exam cancelled after paper leaked on Whatsapp (livemint.com)</t>
  </si>
  <si>
    <t>2014-06-23</t>
  </si>
  <si>
    <t>UP CPMT 2014</t>
  </si>
  <si>
    <t>King George's Medical University , Ghaziabadd</t>
  </si>
  <si>
    <t>CPMT 2014 paper leak: Aspirants dejected, demand compensation | Lucknow News - Times of India (indiatimes.com)</t>
  </si>
  <si>
    <t>MAIN  HEADERS</t>
  </si>
  <si>
    <t>INDIA EXAM PAPER LEAK ANALYSIS (2014-2024)</t>
  </si>
  <si>
    <t>BUSINESS REQUIREMENTS</t>
  </si>
  <si>
    <t xml:space="preserve">Objective : </t>
  </si>
  <si>
    <t>1.  To conduct a comprehensive analysis of paper leak incidents across various examinations in India.</t>
  </si>
  <si>
    <t>2. Analyse the impact of paper leak incidents using interactive KPIs, charts, and slicers in Microsoft Excel.</t>
  </si>
  <si>
    <t>KPI REQUIREMENTS</t>
  </si>
  <si>
    <r>
      <t xml:space="preserve">1. Total Incidents : </t>
    </r>
    <r>
      <rPr>
        <sz val="16"/>
        <color theme="1"/>
        <rFont val="Calibri"/>
        <family val="2"/>
        <scheme val="minor"/>
      </rPr>
      <t xml:space="preserve">Total number of reported paper leak incidents in the dataset. </t>
    </r>
  </si>
  <si>
    <r>
      <t xml:space="preserve">2. Confirmed Cases : </t>
    </r>
    <r>
      <rPr>
        <sz val="16"/>
        <color theme="1"/>
        <rFont val="Calibri"/>
        <family val="2"/>
        <scheme val="minor"/>
      </rPr>
      <t>Total number of officially confirmed paper leak incidents.</t>
    </r>
  </si>
  <si>
    <r>
      <t xml:space="preserve">3. Exam Cancelled : </t>
    </r>
    <r>
      <rPr>
        <sz val="16"/>
        <color theme="1"/>
        <rFont val="Calibri"/>
        <family val="2"/>
        <scheme val="minor"/>
      </rPr>
      <t>Total number of examinations cancelled due to paper leaks.</t>
    </r>
  </si>
  <si>
    <r>
      <t>4. Current Year Incidents :</t>
    </r>
    <r>
      <rPr>
        <sz val="16"/>
        <color theme="1"/>
        <rFont val="Calibri"/>
        <family val="2"/>
        <scheme val="minor"/>
      </rPr>
      <t xml:space="preserve"> Total number of paper leak incidents reported in the latest year (2024).</t>
    </r>
  </si>
  <si>
    <t>CHART'S REQUIREMENTS</t>
  </si>
  <si>
    <t>1. Year-wise Trend of Paper Leak Incidents</t>
  </si>
  <si>
    <t>1. Year-wise Trend of Paper Leak Incidents :</t>
  </si>
  <si>
    <r>
      <rPr>
        <b/>
        <sz val="16"/>
        <color theme="8" tint="-0.499984740745262"/>
        <rFont val="Calibri"/>
        <family val="2"/>
        <scheme val="minor"/>
      </rPr>
      <t>Objective :</t>
    </r>
    <r>
      <rPr>
        <sz val="16"/>
        <color theme="8" tint="-0.499984740745262"/>
        <rFont val="Calibri"/>
        <family val="2"/>
        <scheme val="minor"/>
      </rPr>
      <t xml:space="preserve"> Analyze how paper leak incidents have changed over time.</t>
    </r>
  </si>
  <si>
    <r>
      <rPr>
        <b/>
        <sz val="16"/>
        <color theme="8" tint="-0.499984740745262"/>
        <rFont val="Calibri"/>
        <family val="2"/>
        <scheme val="minor"/>
      </rPr>
      <t>Chart Type :</t>
    </r>
    <r>
      <rPr>
        <sz val="16"/>
        <color theme="8" tint="-0.499984740745262"/>
        <rFont val="Calibri"/>
        <family val="2"/>
        <scheme val="minor"/>
      </rPr>
      <t xml:space="preserve">  Line Chart.</t>
    </r>
  </si>
  <si>
    <t xml:space="preserve">2. Top 10 States by Paper Leak Cases : </t>
  </si>
  <si>
    <r>
      <rPr>
        <b/>
        <sz val="16"/>
        <color theme="8" tint="-0.499984740745262"/>
        <rFont val="Calibri"/>
        <family val="2"/>
        <scheme val="minor"/>
      </rPr>
      <t>Objective :</t>
    </r>
    <r>
      <rPr>
        <sz val="16"/>
        <color theme="8" tint="-0.499984740745262"/>
        <rFont val="Calibri"/>
        <family val="2"/>
        <scheme val="minor"/>
      </rPr>
      <t xml:space="preserve"> Identify the states with the highest number of reported paper leak incidents.</t>
    </r>
  </si>
  <si>
    <r>
      <rPr>
        <b/>
        <sz val="16"/>
        <color theme="8" tint="-0.499984740745262"/>
        <rFont val="Calibri"/>
        <family val="2"/>
        <scheme val="minor"/>
      </rPr>
      <t>Chart Type :</t>
    </r>
    <r>
      <rPr>
        <sz val="16"/>
        <color theme="8" tint="-0.499984740745262"/>
        <rFont val="Calibri"/>
        <family val="2"/>
        <scheme val="minor"/>
      </rPr>
      <t xml:space="preserve"> Bar Chart.</t>
    </r>
  </si>
  <si>
    <t xml:space="preserve">3. Distribution by Conducting Body Type : </t>
  </si>
  <si>
    <r>
      <rPr>
        <b/>
        <sz val="16"/>
        <color theme="8" tint="-0.499984740745262"/>
        <rFont val="Calibri"/>
        <family val="2"/>
        <scheme val="minor"/>
      </rPr>
      <t>Objective :</t>
    </r>
    <r>
      <rPr>
        <sz val="16"/>
        <color theme="8" tint="-0.499984740745262"/>
        <rFont val="Calibri"/>
        <family val="2"/>
        <scheme val="minor"/>
      </rPr>
      <t xml:space="preserve"> Compare paper leak incidents across State, Central, and Private examination authorities.</t>
    </r>
  </si>
  <si>
    <r>
      <rPr>
        <b/>
        <sz val="16"/>
        <color theme="8" tint="-0.499984740745262"/>
        <rFont val="Calibri"/>
        <family val="2"/>
        <scheme val="minor"/>
      </rPr>
      <t>Chart Type :</t>
    </r>
    <r>
      <rPr>
        <sz val="16"/>
        <color theme="8" tint="-0.499984740745262"/>
        <rFont val="Calibri"/>
        <family val="2"/>
        <scheme val="minor"/>
      </rPr>
      <t xml:space="preserve"> Donut Chart.</t>
    </r>
  </si>
  <si>
    <t>4. Action Taken Analysis</t>
  </si>
  <si>
    <t xml:space="preserve">4. Action Taken Analysis : </t>
  </si>
  <si>
    <r>
      <rPr>
        <b/>
        <sz val="16"/>
        <color theme="8" tint="-0.499984740745262"/>
        <rFont val="Calibri"/>
        <family val="2"/>
        <scheme val="minor"/>
      </rPr>
      <t>Objective :</t>
    </r>
    <r>
      <rPr>
        <sz val="16"/>
        <color theme="8" tint="-0.499984740745262"/>
        <rFont val="Calibri"/>
        <family val="2"/>
        <scheme val="minor"/>
      </rPr>
      <t xml:space="preserve"> Analyze the actions taken by authorities following paper leak incidents.</t>
    </r>
  </si>
  <si>
    <t xml:space="preserve">5. Leak Confirmation Status : </t>
  </si>
  <si>
    <r>
      <rPr>
        <b/>
        <sz val="16"/>
        <color theme="8" tint="-0.499984740745262"/>
        <rFont val="Calibri"/>
        <family val="2"/>
        <scheme val="minor"/>
      </rPr>
      <t>Objective :</t>
    </r>
    <r>
      <rPr>
        <sz val="16"/>
        <color theme="8" tint="-0.499984740745262"/>
        <rFont val="Calibri"/>
        <family val="2"/>
        <scheme val="minor"/>
      </rPr>
      <t xml:space="preserve"> Compare the proportion of confirmed and alleged paper leak incidents.</t>
    </r>
  </si>
  <si>
    <t>Row Labels</t>
  </si>
  <si>
    <t>Grand Total</t>
  </si>
  <si>
    <t>Count of Date of Exam/Incident</t>
  </si>
  <si>
    <t>Confirmed Cases</t>
  </si>
  <si>
    <t>Total Incidents</t>
  </si>
  <si>
    <t>Current Year</t>
  </si>
  <si>
    <t>KPI'S REQUIREMENTS</t>
  </si>
  <si>
    <t>CHART'S REQUIREMETS</t>
  </si>
  <si>
    <t xml:space="preserve">2. Top 10 States by Paper Leak Cases </t>
  </si>
  <si>
    <t xml:space="preserve">3. Distribution by Conducting Body Type  </t>
  </si>
  <si>
    <t xml:space="preserve">5. Leak Confirmation Status  </t>
  </si>
  <si>
    <t>Multiple States</t>
  </si>
  <si>
    <t>TOTAL INCODENTS</t>
  </si>
  <si>
    <t>CANCELLED</t>
  </si>
  <si>
    <t>CONFOIRM</t>
  </si>
  <si>
    <t>CURRENT</t>
  </si>
  <si>
    <t>KEY INSIGHTS</t>
  </si>
  <si>
    <r>
      <t>1. Analyzed</t>
    </r>
    <r>
      <rPr>
        <b/>
        <sz val="16"/>
        <color theme="1"/>
        <rFont val="Calibri"/>
        <family val="2"/>
        <scheme val="minor"/>
      </rPr>
      <t xml:space="preserve"> 66 paper leak incidents </t>
    </r>
    <r>
      <rPr>
        <sz val="16"/>
        <color theme="1"/>
        <rFont val="Calibri"/>
        <family val="2"/>
        <scheme val="minor"/>
      </rPr>
      <t xml:space="preserve">reported across India from </t>
    </r>
    <r>
      <rPr>
        <b/>
        <sz val="16"/>
        <color theme="1"/>
        <rFont val="Calibri"/>
        <family val="2"/>
        <scheme val="minor"/>
      </rPr>
      <t>2014–2024</t>
    </r>
    <r>
      <rPr>
        <sz val="16"/>
        <color theme="1"/>
        <rFont val="Calibri"/>
        <family val="2"/>
        <scheme val="minor"/>
      </rPr>
      <t>.</t>
    </r>
  </si>
  <si>
    <r>
      <t xml:space="preserve">2. </t>
    </r>
    <r>
      <rPr>
        <b/>
        <sz val="16"/>
        <color theme="1"/>
        <rFont val="Calibri"/>
        <family val="2"/>
        <scheme val="minor"/>
      </rPr>
      <t>73%</t>
    </r>
    <r>
      <rPr>
        <sz val="16"/>
        <color theme="1"/>
        <rFont val="Calibri"/>
        <family val="2"/>
        <scheme val="minor"/>
      </rPr>
      <t xml:space="preserve"> of reported incidents were officially </t>
    </r>
    <r>
      <rPr>
        <b/>
        <sz val="16"/>
        <color theme="1"/>
        <rFont val="Calibri"/>
        <family val="2"/>
        <scheme val="minor"/>
      </rPr>
      <t>confirmed</t>
    </r>
    <r>
      <rPr>
        <sz val="16"/>
        <color theme="1"/>
        <rFont val="Calibri"/>
        <family val="2"/>
        <scheme val="minor"/>
      </rPr>
      <t>, indicating a high verification rate.</t>
    </r>
  </si>
  <si>
    <r>
      <t>3. Paper leak incidents showed an overall</t>
    </r>
    <r>
      <rPr>
        <b/>
        <sz val="16"/>
        <color theme="1"/>
        <rFont val="Calibri"/>
        <family val="2"/>
        <scheme val="minor"/>
      </rPr>
      <t xml:space="preserve"> upward trend</t>
    </r>
    <r>
      <rPr>
        <sz val="16"/>
        <color theme="1"/>
        <rFont val="Calibri"/>
        <family val="2"/>
        <scheme val="minor"/>
      </rPr>
      <t>, reaching the highest level in</t>
    </r>
    <r>
      <rPr>
        <b/>
        <sz val="16"/>
        <color theme="1"/>
        <rFont val="Calibri"/>
        <family val="2"/>
        <scheme val="minor"/>
      </rPr>
      <t xml:space="preserve"> 2023 (15 incidents)</t>
    </r>
    <r>
      <rPr>
        <sz val="16"/>
        <color theme="1"/>
        <rFont val="Calibri"/>
        <family val="2"/>
        <scheme val="minor"/>
      </rPr>
      <t>.</t>
    </r>
  </si>
  <si>
    <r>
      <t xml:space="preserve">4. </t>
    </r>
    <r>
      <rPr>
        <b/>
        <sz val="16"/>
        <color theme="1"/>
        <rFont val="Calibri"/>
        <family val="2"/>
        <scheme val="minor"/>
      </rPr>
      <t xml:space="preserve">Uttar Pradesh </t>
    </r>
    <r>
      <rPr>
        <sz val="16"/>
        <color theme="1"/>
        <rFont val="Calibri"/>
        <family val="2"/>
        <scheme val="minor"/>
      </rPr>
      <t>recorded the highest number of paper leak incidents among all states.</t>
    </r>
  </si>
  <si>
    <r>
      <t xml:space="preserve">5. </t>
    </r>
    <r>
      <rPr>
        <b/>
        <sz val="16"/>
        <color theme="1"/>
        <rFont val="Calibri"/>
        <family val="2"/>
        <scheme val="minor"/>
      </rPr>
      <t>State-level conducting bodies</t>
    </r>
    <r>
      <rPr>
        <sz val="16"/>
        <color theme="1"/>
        <rFont val="Calibri"/>
        <family val="2"/>
        <scheme val="minor"/>
      </rPr>
      <t xml:space="preserve"> accounted for the majority of reported incidents.</t>
    </r>
  </si>
  <si>
    <r>
      <t xml:space="preserve">6. </t>
    </r>
    <r>
      <rPr>
        <b/>
        <sz val="16"/>
        <color theme="1"/>
        <rFont val="Calibri"/>
        <family val="2"/>
        <scheme val="minor"/>
      </rPr>
      <t>Exam cancellation</t>
    </r>
    <r>
      <rPr>
        <sz val="16"/>
        <color theme="1"/>
        <rFont val="Calibri"/>
        <family val="2"/>
        <scheme val="minor"/>
      </rPr>
      <t xml:space="preserve"> was the most common action taken, followed by legal action.</t>
    </r>
  </si>
  <si>
    <r>
      <t xml:space="preserve">7. The latest year in the dataset </t>
    </r>
    <r>
      <rPr>
        <b/>
        <sz val="16"/>
        <color theme="1"/>
        <rFont val="Calibri"/>
        <family val="2"/>
        <scheme val="minor"/>
      </rPr>
      <t xml:space="preserve">(2024) </t>
    </r>
    <r>
      <rPr>
        <sz val="16"/>
        <color theme="1"/>
        <rFont val="Calibri"/>
        <family val="2"/>
        <scheme val="minor"/>
      </rPr>
      <t xml:space="preserve">reported </t>
    </r>
    <r>
      <rPr>
        <b/>
        <sz val="16"/>
        <color theme="1"/>
        <rFont val="Calibri"/>
        <family val="2"/>
        <scheme val="minor"/>
      </rPr>
      <t>13 incidents</t>
    </r>
    <r>
      <rPr>
        <sz val="16"/>
        <color theme="1"/>
        <rFont val="Calibri"/>
        <family val="2"/>
        <scheme val="minor"/>
      </rPr>
      <t>, highlighting that paper leaks remain a significant challenge.</t>
    </r>
  </si>
  <si>
    <t>CONCLUSION</t>
  </si>
  <si>
    <t>1. Paper leak incidents have increased over the years, emphasizing the need for stronger examination security.</t>
  </si>
  <si>
    <t>2. Most reported incidents were confirmed, demonstrating the seriousness of the issue.</t>
  </si>
  <si>
    <t>3. State-level examinations experienced a larger share of incidents compared to Central and Private examinations.</t>
  </si>
  <si>
    <t>4. Exam cancellation and legal action were the primary responses adopted by authorities.</t>
  </si>
  <si>
    <t>5. Data-driven monitoring and improved security measures can help reduce future paper leak incidents.</t>
  </si>
  <si>
    <t>TOOLS AND FEARTURES USED</t>
  </si>
  <si>
    <t>Tool</t>
  </si>
  <si>
    <t>Microsoft Excel</t>
  </si>
  <si>
    <t>Features</t>
  </si>
  <si>
    <t>Pivot Tables</t>
  </si>
  <si>
    <t>Pivot Charts</t>
  </si>
  <si>
    <t>KPI Cards</t>
  </si>
  <si>
    <t>Slicers</t>
  </si>
  <si>
    <t>GETPIVOTDATA</t>
  </si>
  <si>
    <t>Conditional Formatting</t>
  </si>
  <si>
    <t>Interactive Dashboard</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</si>
</sst>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Calibri"/>
      <family val="2"/>
      <scheme val="minor"/>
    </font>
    <font>
      <b/>
      <sz val="11"/>
      <name val="Calibri"/>
    </font>
    <font>
      <b/>
      <sz val="11"/>
      <color theme="0"/>
      <name val="Calibri"/>
      <family val="2"/>
      <scheme val="minor"/>
    </font>
    <font>
      <b/>
      <sz val="11"/>
      <color theme="1"/>
      <name val="Calibri"/>
      <family val="2"/>
      <scheme val="minor"/>
    </font>
    <font>
      <sz val="11"/>
      <color theme="0"/>
      <name val="Calibri"/>
      <family val="2"/>
      <scheme val="minor"/>
    </font>
    <font>
      <sz val="11"/>
      <color theme="8" tint="-0.499984740745262"/>
      <name val="Calibri"/>
      <family val="2"/>
      <scheme val="minor"/>
    </font>
    <font>
      <sz val="16"/>
      <color theme="1"/>
      <name val="Calibri"/>
      <family val="2"/>
      <scheme val="minor"/>
    </font>
    <font>
      <b/>
      <sz val="24"/>
      <color theme="0"/>
      <name val="Calibri"/>
      <family val="2"/>
      <scheme val="minor"/>
    </font>
    <font>
      <sz val="22"/>
      <color theme="0"/>
      <name val="Calibri"/>
      <family val="2"/>
      <scheme val="minor"/>
    </font>
    <font>
      <b/>
      <sz val="16"/>
      <color theme="1"/>
      <name val="Calibri"/>
      <family val="2"/>
      <scheme val="minor"/>
    </font>
    <font>
      <sz val="16"/>
      <color theme="8" tint="-0.499984740745262"/>
      <name val="Calibri"/>
      <family val="2"/>
      <scheme val="minor"/>
    </font>
    <font>
      <b/>
      <sz val="16"/>
      <color theme="8" tint="-0.499984740745262"/>
      <name val="Calibri"/>
      <family val="2"/>
      <scheme val="minor"/>
    </font>
    <font>
      <sz val="16"/>
      <color theme="0"/>
      <name val="Calibri"/>
      <family val="2"/>
      <scheme val="minor"/>
    </font>
    <font>
      <sz val="14"/>
      <color theme="5" tint="-0.499984740745262"/>
      <name val="Calibri"/>
      <family val="2"/>
      <scheme val="minor"/>
    </font>
    <font>
      <sz val="14"/>
      <color theme="1"/>
      <name val="Calibri"/>
      <family val="2"/>
      <scheme val="minor"/>
    </font>
    <font>
      <sz val="16"/>
      <color rgb="FF632523"/>
      <name val="Bahnschrift"/>
      <family val="2"/>
    </font>
  </fonts>
  <fills count="9">
    <fill>
      <patternFill patternType="none"/>
    </fill>
    <fill>
      <patternFill patternType="gray125"/>
    </fill>
    <fill>
      <patternFill patternType="solid">
        <fgColor rgb="FFFFFF00"/>
        <bgColor indexed="64"/>
      </patternFill>
    </fill>
    <fill>
      <patternFill patternType="solid">
        <fgColor theme="4" tint="-0.499984740745262"/>
        <bgColor indexed="64"/>
      </patternFill>
    </fill>
    <fill>
      <patternFill patternType="solid">
        <fgColor theme="6" tint="-0.499984740745262"/>
        <bgColor indexed="64"/>
      </patternFill>
    </fill>
    <fill>
      <patternFill patternType="solid">
        <fgColor theme="5" tint="-0.249977111117893"/>
        <bgColor indexed="64"/>
      </patternFill>
    </fill>
    <fill>
      <patternFill patternType="solid">
        <fgColor theme="4" tint="0.39997558519241921"/>
        <bgColor indexed="64"/>
      </patternFill>
    </fill>
    <fill>
      <patternFill patternType="solid">
        <fgColor theme="7" tint="-0.499984740745262"/>
        <bgColor indexed="64"/>
      </patternFill>
    </fill>
    <fill>
      <patternFill patternType="solid">
        <fgColor theme="3" tint="0.79998168889431442"/>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77">
    <xf numFmtId="0" fontId="0" fillId="0" borderId="0" xfId="0"/>
    <xf numFmtId="0" fontId="1" fillId="0" borderId="2" xfId="0" applyFont="1" applyBorder="1" applyAlignment="1">
      <alignment horizontal="center" vertical="top"/>
    </xf>
    <xf numFmtId="0" fontId="0" fillId="0" borderId="3" xfId="0" applyBorder="1"/>
    <xf numFmtId="0" fontId="1" fillId="2" borderId="2" xfId="0" applyFont="1" applyFill="1" applyBorder="1" applyAlignment="1">
      <alignment horizontal="center" vertical="top"/>
    </xf>
    <xf numFmtId="0" fontId="3" fillId="2" borderId="4" xfId="0" applyFont="1" applyFill="1" applyBorder="1"/>
    <xf numFmtId="0" fontId="3" fillId="2" borderId="3" xfId="0" applyFont="1" applyFill="1" applyBorder="1"/>
    <xf numFmtId="0" fontId="3" fillId="2" borderId="5" xfId="0" applyFont="1" applyFill="1" applyBorder="1"/>
    <xf numFmtId="0" fontId="0" fillId="0" borderId="6" xfId="0" applyBorder="1"/>
    <xf numFmtId="0" fontId="0" fillId="0" borderId="0" xfId="0" applyBorder="1"/>
    <xf numFmtId="0" fontId="0" fillId="0" borderId="7" xfId="0" applyBorder="1"/>
    <xf numFmtId="0" fontId="0" fillId="2" borderId="6" xfId="0" applyFill="1" applyBorder="1"/>
    <xf numFmtId="0" fontId="0" fillId="2" borderId="0" xfId="0" applyFill="1" applyBorder="1"/>
    <xf numFmtId="0" fontId="0" fillId="2" borderId="7" xfId="0" applyFill="1" applyBorder="1"/>
    <xf numFmtId="0" fontId="0" fillId="0" borderId="8" xfId="0" applyBorder="1"/>
    <xf numFmtId="0" fontId="0" fillId="0" borderId="9" xfId="0" applyBorder="1"/>
    <xf numFmtId="0" fontId="0" fillId="0" borderId="10" xfId="0" applyBorder="1"/>
    <xf numFmtId="0" fontId="0" fillId="0" borderId="5" xfId="0" applyBorder="1"/>
    <xf numFmtId="0" fontId="6" fillId="0" borderId="6" xfId="0" applyFont="1" applyBorder="1"/>
    <xf numFmtId="0" fontId="6" fillId="0" borderId="0" xfId="0" applyFont="1" applyBorder="1"/>
    <xf numFmtId="0" fontId="6" fillId="0" borderId="7" xfId="0" applyFont="1" applyBorder="1"/>
    <xf numFmtId="0" fontId="9" fillId="0" borderId="4" xfId="0" applyFont="1" applyBorder="1"/>
    <xf numFmtId="0" fontId="6" fillId="0" borderId="3" xfId="0" applyFont="1" applyBorder="1"/>
    <xf numFmtId="0" fontId="9" fillId="0" borderId="6" xfId="0" applyFont="1" applyBorder="1"/>
    <xf numFmtId="0" fontId="9" fillId="0" borderId="8" xfId="0" applyFont="1" applyBorder="1"/>
    <xf numFmtId="0" fontId="10" fillId="0" borderId="0" xfId="0" applyFont="1" applyBorder="1"/>
    <xf numFmtId="0" fontId="5" fillId="0" borderId="0" xfId="0" applyFont="1" applyBorder="1"/>
    <xf numFmtId="0" fontId="9" fillId="0" borderId="0" xfId="0" applyFont="1" applyBorder="1"/>
    <xf numFmtId="0" fontId="3" fillId="0" borderId="0" xfId="0" applyFont="1" applyBorder="1"/>
    <xf numFmtId="0" fontId="9" fillId="6" borderId="11" xfId="0" applyFont="1" applyFill="1" applyBorder="1"/>
    <xf numFmtId="0" fontId="9" fillId="6" borderId="13" xfId="0" applyFont="1" applyFill="1" applyBorder="1"/>
    <xf numFmtId="0" fontId="0" fillId="0" borderId="8" xfId="0" applyBorder="1" applyAlignment="1">
      <alignment horizontal="left"/>
    </xf>
    <xf numFmtId="0" fontId="0" fillId="0" borderId="6" xfId="0" applyBorder="1" applyAlignment="1">
      <alignment horizontal="left"/>
    </xf>
    <xf numFmtId="0" fontId="0" fillId="0" borderId="1" xfId="0" pivotButton="1" applyBorder="1"/>
    <xf numFmtId="0" fontId="0" fillId="0" borderId="1" xfId="0" applyBorder="1"/>
    <xf numFmtId="0" fontId="0" fillId="0" borderId="1" xfId="0" applyBorder="1" applyAlignment="1">
      <alignment horizontal="left"/>
    </xf>
    <xf numFmtId="0" fontId="0" fillId="8" borderId="1" xfId="0" applyFill="1" applyBorder="1"/>
    <xf numFmtId="9" fontId="0" fillId="0" borderId="14" xfId="0" applyNumberFormat="1" applyBorder="1"/>
    <xf numFmtId="9" fontId="0" fillId="0" borderId="2" xfId="0" applyNumberFormat="1" applyBorder="1"/>
    <xf numFmtId="0" fontId="8" fillId="3" borderId="0" xfId="0" applyFont="1" applyFill="1"/>
    <xf numFmtId="0" fontId="4" fillId="3" borderId="0" xfId="0" applyFont="1" applyFill="1" applyBorder="1"/>
    <xf numFmtId="0" fontId="4" fillId="3" borderId="0" xfId="0" applyFont="1" applyFill="1"/>
    <xf numFmtId="0" fontId="0" fillId="0" borderId="14" xfId="0" applyNumberFormat="1" applyBorder="1"/>
    <xf numFmtId="0" fontId="0" fillId="0" borderId="15" xfId="0" applyNumberFormat="1" applyBorder="1"/>
    <xf numFmtId="0" fontId="0" fillId="0" borderId="2" xfId="0" applyNumberFormat="1" applyBorder="1"/>
    <xf numFmtId="0" fontId="0" fillId="0" borderId="15" xfId="0" applyBorder="1" applyAlignment="1">
      <alignment horizontal="left"/>
    </xf>
    <xf numFmtId="0" fontId="0" fillId="0" borderId="2" xfId="0" applyBorder="1" applyAlignment="1">
      <alignment horizontal="left"/>
    </xf>
    <xf numFmtId="0" fontId="0" fillId="0" borderId="14" xfId="0" applyBorder="1" applyAlignment="1">
      <alignment horizontal="left"/>
    </xf>
    <xf numFmtId="0" fontId="0" fillId="0" borderId="1" xfId="0" applyNumberFormat="1" applyBorder="1"/>
    <xf numFmtId="9" fontId="0" fillId="0" borderId="0" xfId="0" applyNumberFormat="1"/>
    <xf numFmtId="0" fontId="13" fillId="0" borderId="0" xfId="0" applyFont="1" applyAlignment="1">
      <alignment horizontal="left" vertical="top"/>
    </xf>
    <xf numFmtId="0" fontId="14" fillId="0" borderId="0" xfId="0" applyFont="1" applyAlignment="1">
      <alignment horizontal="left" vertical="top"/>
    </xf>
    <xf numFmtId="0" fontId="15" fillId="0" borderId="0" xfId="0" applyFont="1"/>
    <xf numFmtId="0" fontId="12" fillId="4" borderId="14" xfId="0" applyFont="1" applyFill="1" applyBorder="1" applyAlignment="1">
      <alignment horizontal="center"/>
    </xf>
    <xf numFmtId="0" fontId="6" fillId="0" borderId="4" xfId="0" applyFont="1" applyBorder="1"/>
    <xf numFmtId="0" fontId="6" fillId="0" borderId="8" xfId="0" applyFont="1" applyBorder="1"/>
    <xf numFmtId="0" fontId="6" fillId="0" borderId="9" xfId="0" applyFont="1" applyBorder="1"/>
    <xf numFmtId="0" fontId="6" fillId="0" borderId="4" xfId="0" applyFont="1" applyFill="1" applyBorder="1"/>
    <xf numFmtId="0" fontId="6" fillId="0" borderId="6" xfId="0" applyFont="1" applyFill="1" applyBorder="1"/>
    <xf numFmtId="0" fontId="6" fillId="0" borderId="8" xfId="0" applyFont="1" applyFill="1" applyBorder="1"/>
    <xf numFmtId="0" fontId="6" fillId="0" borderId="6" xfId="0" applyFont="1" applyBorder="1" applyAlignment="1">
      <alignment horizontal="left" vertical="center" indent="1"/>
    </xf>
    <xf numFmtId="0" fontId="6" fillId="0" borderId="8" xfId="0" applyFont="1" applyBorder="1" applyAlignment="1">
      <alignment horizontal="left" vertical="center" indent="1"/>
    </xf>
    <xf numFmtId="0" fontId="8" fillId="7" borderId="4" xfId="0" applyFont="1" applyFill="1" applyBorder="1" applyAlignment="1">
      <alignment horizontal="center"/>
    </xf>
    <xf numFmtId="0" fontId="8" fillId="7" borderId="3" xfId="0" applyFont="1" applyFill="1" applyBorder="1" applyAlignment="1">
      <alignment horizontal="center"/>
    </xf>
    <xf numFmtId="0" fontId="8" fillId="7" borderId="5" xfId="0" applyFont="1" applyFill="1" applyBorder="1" applyAlignment="1">
      <alignment horizontal="center"/>
    </xf>
    <xf numFmtId="0" fontId="8" fillId="7" borderId="11" xfId="0" applyFont="1" applyFill="1" applyBorder="1" applyAlignment="1">
      <alignment horizontal="center"/>
    </xf>
    <xf numFmtId="0" fontId="8" fillId="7" borderId="12" xfId="0" applyFont="1" applyFill="1" applyBorder="1" applyAlignment="1">
      <alignment horizontal="center"/>
    </xf>
    <xf numFmtId="0" fontId="8" fillId="7" borderId="13" xfId="0" applyFont="1" applyFill="1" applyBorder="1" applyAlignment="1">
      <alignment horizontal="center"/>
    </xf>
    <xf numFmtId="0" fontId="7" fillId="5" borderId="11" xfId="0" applyFont="1" applyFill="1" applyBorder="1" applyAlignment="1">
      <alignment horizontal="center"/>
    </xf>
    <xf numFmtId="0" fontId="7" fillId="5" borderId="12" xfId="0" applyFont="1" applyFill="1" applyBorder="1" applyAlignment="1">
      <alignment horizontal="center"/>
    </xf>
    <xf numFmtId="0" fontId="7" fillId="5" borderId="13" xfId="0" applyFont="1" applyFill="1" applyBorder="1" applyAlignment="1">
      <alignment horizontal="center"/>
    </xf>
    <xf numFmtId="0" fontId="2" fillId="3" borderId="9" xfId="0" applyFont="1" applyFill="1" applyBorder="1" applyAlignment="1">
      <alignment horizontal="center"/>
    </xf>
    <xf numFmtId="0" fontId="8" fillId="3" borderId="11" xfId="0" applyFont="1" applyFill="1" applyBorder="1" applyAlignment="1">
      <alignment horizontal="center"/>
    </xf>
    <xf numFmtId="0" fontId="8" fillId="3" borderId="12" xfId="0" applyFont="1" applyFill="1" applyBorder="1" applyAlignment="1">
      <alignment horizontal="center"/>
    </xf>
    <xf numFmtId="0" fontId="8" fillId="3" borderId="13" xfId="0" applyFont="1" applyFill="1" applyBorder="1" applyAlignment="1">
      <alignment horizontal="center"/>
    </xf>
    <xf numFmtId="0" fontId="12" fillId="4" borderId="4" xfId="0" applyFont="1" applyFill="1" applyBorder="1" applyAlignment="1">
      <alignment horizontal="center"/>
    </xf>
    <xf numFmtId="0" fontId="12" fillId="4" borderId="3" xfId="0" applyFont="1" applyFill="1" applyBorder="1" applyAlignment="1">
      <alignment horizontal="center"/>
    </xf>
    <xf numFmtId="0" fontId="12" fillId="4" borderId="5" xfId="0" applyFont="1" applyFill="1" applyBorder="1" applyAlignment="1">
      <alignment horizontal="center"/>
    </xf>
  </cellXfs>
  <cellStyles count="1">
    <cellStyle name="Normal" xfId="0" builtinId="0"/>
  </cellStyles>
  <dxfs count="72">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3" formatCode="0%"/>
    </dxf>
    <dxf>
      <border>
        <left style="thin">
          <color indexed="64"/>
        </left>
        <right style="thin">
          <color indexed="64"/>
        </right>
        <top style="thin">
          <color indexed="64"/>
        </top>
        <bottom style="thin">
          <color indexed="64"/>
        </bottom>
      </border>
    </dxf>
    <dxf>
      <fill>
        <patternFill>
          <bgColor theme="3" tint="0.79998168889431442"/>
        </patternFill>
      </fill>
    </dxf>
    <dxf>
      <fill>
        <patternFill>
          <bgColor theme="3" tint="0.79998168889431442"/>
        </patternFill>
      </fill>
    </dxf>
    <dxf>
      <fill>
        <patternFill patternType="solid">
          <bgColor theme="2" tint="-0.499984740745262"/>
        </patternFill>
      </fill>
    </dxf>
    <dxf>
      <fill>
        <patternFill patternType="solid">
          <bgColor theme="2" tint="-0.49998474074526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color rgb="FF9C0006"/>
      </font>
      <fill>
        <patternFill>
          <bgColor rgb="FFFFC7CE"/>
        </patternFill>
      </fil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2" defaultTableStyle="TableStyleMedium9" defaultPivotStyle="PivotStyleLight16">
    <tableStyle name="Slicer Style 1" pivot="0" table="0" count="0"/>
    <tableStyle name="Slicer Style 2" pivot="0" table="0" count="0"/>
  </tableStyles>
  <colors>
    <mruColors>
      <color rgb="FF7D314D"/>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[Paper_Leaks_Clean.xlsx]SHEET DESIGN!PivotTable5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a:t>
            </a:r>
            <a:r>
              <a:rPr lang="en-US" baseline="0"/>
              <a:t> WISE TREND</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'SHEET DESIGN'!$B$13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 DESIGN'!$A$14:$A$24</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'SHEET DESIGN'!$B$14:$B$24</c:f>
              <c:numCache>
                <c:formatCode>General</c:formatCode>
                <c:ptCount val="11"/>
                <c:pt idx="0">
                  <c:v>1</c:v>
                </c:pt>
                <c:pt idx="1">
                  <c:v>3</c:v>
                </c:pt>
                <c:pt idx="2">
                  <c:v>2</c:v>
                </c:pt>
                <c:pt idx="3">
                  <c:v>3</c:v>
                </c:pt>
                <c:pt idx="4">
                  <c:v>5</c:v>
                </c:pt>
                <c:pt idx="5">
                  <c:v>3</c:v>
                </c:pt>
                <c:pt idx="6">
                  <c:v>2</c:v>
                </c:pt>
                <c:pt idx="7">
                  <c:v>8</c:v>
                </c:pt>
                <c:pt idx="8">
                  <c:v>11</c:v>
                </c:pt>
                <c:pt idx="9">
                  <c:v>15</c:v>
                </c:pt>
                <c:pt idx="10">
                  <c:v>13</c:v>
                </c:pt>
              </c:numCache>
            </c:numRef>
          </c:val>
          <c:smooth val="0"/>
        </c:ser>
        <c:dLbls>
          <c:dLblPos val="t"/>
          <c:showLegendKey val="0"/>
          <c:showVal val="1"/>
          <c:showCatName val="0"/>
          <c:showSerName val="0"/>
          <c:showPercent val="0"/>
          <c:showBubbleSize val="0"/>
        </c:dLbls>
        <c:marker val="1"/>
        <c:smooth val="0"/>
        <c:axId val="247973432"/>
        <c:axId val="247973824"/>
      </c:lineChart>
      <c:catAx>
        <c:axId val="247973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73824"/>
        <c:crosses val="autoZero"/>
        <c:auto val="1"/>
        <c:lblAlgn val="ctr"/>
        <c:lblOffset val="100"/>
        <c:noMultiLvlLbl val="0"/>
      </c:catAx>
      <c:valAx>
        <c:axId val="24797382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479734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[Paper_Leaks_Clean.xlsx]SHEET DESIGN!PivotTable6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INCIDENT STATES</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 DESIGN'!$B$28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 DESIGN'!$A$29:$A$36</c:f>
              <c:strCache>
                <c:ptCount val="8"/>
                <c:pt idx="0">
                  <c:v>Madhya Pradesh</c:v>
                </c:pt>
                <c:pt idx="1">
                  <c:v>Kerala</c:v>
                </c:pt>
                <c:pt idx="2">
                  <c:v>Telangana</c:v>
                </c:pt>
                <c:pt idx="3">
                  <c:v>Rajasthan</c:v>
                </c:pt>
                <c:pt idx="4">
                  <c:v>Gujrat</c:v>
                </c:pt>
                <c:pt idx="5">
                  <c:v>Bihar</c:v>
                </c:pt>
                <c:pt idx="6">
                  <c:v>Maharasthra</c:v>
                </c:pt>
                <c:pt idx="7">
                  <c:v>Uttar Pradesh</c:v>
                </c:pt>
              </c:strCache>
            </c:strRef>
          </c:cat>
          <c:val>
            <c:numRef>
              <c:f>'SHEET DESIGN'!$B$29:$B$36</c:f>
              <c:numCache>
                <c:formatCode>General</c:formatCode>
                <c:ptCount val="8"/>
                <c:pt idx="0">
                  <c:v>3</c:v>
                </c:pt>
                <c:pt idx="1">
                  <c:v>3</c:v>
                </c:pt>
                <c:pt idx="2">
                  <c:v>3</c:v>
                </c:pt>
                <c:pt idx="3">
                  <c:v>3</c:v>
                </c:pt>
                <c:pt idx="4">
                  <c:v>3</c:v>
                </c:pt>
                <c:pt idx="5">
                  <c:v>5</c:v>
                </c:pt>
                <c:pt idx="6">
                  <c:v>6</c:v>
                </c:pt>
                <c:pt idx="7">
                  <c:v>11</c:v>
                </c:pt>
              </c:numCache>
            </c:numRef>
          </c:val>
        </c:ser>
        <c:dLbls>
          <c:dLblPos val="outEnd"/>
          <c:showLegendKey val="0"/>
          <c:showVal val="1"/>
          <c:showCatName val="0"/>
          <c:showSerName val="0"/>
          <c:showPercent val="0"/>
          <c:showBubbleSize val="0"/>
        </c:dLbls>
        <c:gapWidth val="182"/>
        <c:axId val="312482056"/>
        <c:axId val="312484800"/>
      </c:barChart>
      <c:catAx>
        <c:axId val="312482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484800"/>
        <c:crosses val="autoZero"/>
        <c:auto val="1"/>
        <c:lblAlgn val="ctr"/>
        <c:lblOffset val="100"/>
        <c:noMultiLvlLbl val="0"/>
      </c:catAx>
      <c:valAx>
        <c:axId val="31248480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12482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[Paper_Leaks_Clean.xlsx]SHEET DESIGN!PivotTable7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ACTION</a:t>
            </a:r>
            <a:r>
              <a:rPr lang="en-US" baseline="0"/>
              <a:t> TAKES AFTER LEAK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DESIGN'!$A$49:$A$55</c:f>
              <c:strCache>
                <c:ptCount val="6"/>
                <c:pt idx="0">
                  <c:v>Claim dissmissed</c:v>
                </c:pt>
                <c:pt idx="1">
                  <c:v>No action taken</c:v>
                </c:pt>
                <c:pt idx="2">
                  <c:v>No Rexam</c:v>
                </c:pt>
                <c:pt idx="3">
                  <c:v>Chargesheet</c:v>
                </c:pt>
                <c:pt idx="4">
                  <c:v>Legal action taken</c:v>
                </c:pt>
                <c:pt idx="5">
                  <c:v>Exam Cancelled</c:v>
                </c:pt>
              </c:strCache>
            </c:strRef>
          </c:cat>
          <c:val>
            <c:numRef>
              <c:f>'SHEET DESIGN'!$B$49:$B$55</c:f>
              <c:numCache>
                <c:formatCode>General</c:formatCode>
                <c:ptCount val="6"/>
                <c:pt idx="0">
                  <c:v>1</c:v>
                </c:pt>
                <c:pt idx="1">
                  <c:v>1</c:v>
                </c:pt>
                <c:pt idx="2">
                  <c:v>2</c:v>
                </c:pt>
                <c:pt idx="3">
                  <c:v>3</c:v>
                </c:pt>
                <c:pt idx="4">
                  <c:v>19</c:v>
                </c:pt>
                <c:pt idx="5">
                  <c:v>30</c:v>
                </c:pt>
              </c:numCache>
            </c:numRef>
          </c:val>
        </c:ser>
        <c:dLbls>
          <c:dLblPos val="outEnd"/>
          <c:showLegendKey val="0"/>
          <c:showVal val="1"/>
          <c:showCatName val="0"/>
          <c:showSerName val="0"/>
          <c:showPercent val="0"/>
          <c:showBubbleSize val="0"/>
        </c:dLbls>
        <c:gapWidth val="182"/>
        <c:axId val="312481664"/>
        <c:axId val="312482448"/>
      </c:barChart>
      <c:catAx>
        <c:axId val="312481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482448"/>
        <c:crosses val="autoZero"/>
        <c:auto val="1"/>
        <c:lblAlgn val="ctr"/>
        <c:lblOffset val="100"/>
        <c:noMultiLvlLbl val="0"/>
      </c:catAx>
      <c:valAx>
        <c:axId val="31248244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124816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[Paper_Leaks_Clean.xlsx]SHEET DESIGN!PivotTable8</c:name>
    <c:fmtId val="0"/>
  </c:pivotSource>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r>
              <a:rPr lang="en-US" sz="800"/>
              <a:t>INCDENT</a:t>
            </a:r>
            <a:r>
              <a:rPr lang="en-US" sz="800" baseline="0"/>
              <a:t> BY  CONDUCTING BODY TYPE</a:t>
            </a:r>
            <a:endParaRPr lang="en-US" sz="800"/>
          </a:p>
        </c:rich>
      </c:tx>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9914376740501818"/>
          <c:y val="0.15422024923689701"/>
          <c:w val="0.58686202299785362"/>
          <c:h val="0.70715080312191858"/>
        </c:manualLayout>
      </c:layout>
      <c:doughnutChart>
        <c:varyColors val="1"/>
        <c:ser>
          <c:idx val="0"/>
          <c:order val="0"/>
          <c:tx>
            <c:strRef>
              <c:f>'SHEET DESIGN'!$I$31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 DESIGN'!$H$32:$H$35</c:f>
              <c:strCache>
                <c:ptCount val="3"/>
                <c:pt idx="0">
                  <c:v>Central</c:v>
                </c:pt>
                <c:pt idx="1">
                  <c:v>Private</c:v>
                </c:pt>
                <c:pt idx="2">
                  <c:v>State</c:v>
                </c:pt>
              </c:strCache>
            </c:strRef>
          </c:cat>
          <c:val>
            <c:numRef>
              <c:f>'SHEET DESIGN'!$I$32:$I$35</c:f>
              <c:numCache>
                <c:formatCode>General</c:formatCode>
                <c:ptCount val="3"/>
                <c:pt idx="0">
                  <c:v>13</c:v>
                </c:pt>
                <c:pt idx="1">
                  <c:v>3</c:v>
                </c:pt>
                <c:pt idx="2">
                  <c:v>50</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1362308536949042"/>
          <c:y val="0.86009233172241506"/>
          <c:w val="0.70719918010692095"/>
          <c:h val="0.11878965516667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[Paper_Leaks_Clean.xlsx]SHEET DESIGN!PivotTable9</c:name>
    <c:fmtId val="1"/>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a:t>LEAK</a:t>
            </a:r>
            <a:r>
              <a:rPr lang="en-US" sz="1000" baseline="0"/>
              <a:t> STATUS</a:t>
            </a:r>
            <a:endParaRPr lang="en-US" sz="1000"/>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DESIGN'!$I$47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 DESIGN'!$H$48:$H$50</c:f>
              <c:strCache>
                <c:ptCount val="2"/>
                <c:pt idx="0">
                  <c:v>accused</c:v>
                </c:pt>
                <c:pt idx="1">
                  <c:v>confirmed</c:v>
                </c:pt>
              </c:strCache>
            </c:strRef>
          </c:cat>
          <c:val>
            <c:numRef>
              <c:f>'SHEET DESIGN'!$I$48:$I$50</c:f>
              <c:numCache>
                <c:formatCode>General</c:formatCode>
                <c:ptCount val="2"/>
                <c:pt idx="0">
                  <c:v>18</c:v>
                </c:pt>
                <c:pt idx="1">
                  <c:v>48</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[Paper_Leaks_Clean.xlsx]SHEET DESIGN!PivotTable5</c:name>
    <c:fmtId val="3"/>
  </c:pivotSource>
  <c:chart>
    <c:title>
      <c:tx>
        <c:rich>
          <a:bodyPr rot="0" spcFirstLastPara="1" vertOverflow="ellipsis" vert="horz" wrap="square" anchor="ctr" anchorCtr="1"/>
          <a:lstStyle/>
          <a:p>
            <a:pPr>
              <a:defRPr sz="1400" b="1" i="0" u="none" strike="noStrike" kern="1200" spc="0" baseline="0">
                <a:solidFill>
                  <a:schemeClr val="accent2">
                    <a:lumMod val="50000"/>
                  </a:schemeClr>
                </a:solidFill>
                <a:latin typeface="+mn-lt"/>
                <a:ea typeface="+mn-ea"/>
                <a:cs typeface="+mn-cs"/>
              </a:defRPr>
            </a:pPr>
            <a:r>
              <a:rPr lang="en-US" b="1">
                <a:solidFill>
                  <a:schemeClr val="accent2">
                    <a:lumMod val="50000"/>
                  </a:schemeClr>
                </a:solidFill>
              </a:rPr>
              <a:t>YEAR</a:t>
            </a:r>
            <a:r>
              <a:rPr lang="en-US" b="1" baseline="0">
                <a:solidFill>
                  <a:schemeClr val="accent2">
                    <a:lumMod val="50000"/>
                  </a:schemeClr>
                </a:solidFill>
              </a:rPr>
              <a:t> WISE INCIDENTS</a:t>
            </a:r>
            <a:endParaRPr lang="en-US" b="1">
              <a:solidFill>
                <a:schemeClr val="accent2">
                  <a:lumMod val="50000"/>
                </a:schemeClr>
              </a:solidFill>
            </a:endParaRPr>
          </a:p>
        </c:rich>
      </c:tx>
      <c:layout/>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lumMod val="50000"/>
              </a:schemeClr>
            </a:solidFill>
            <a:round/>
          </a:ln>
          <a:effectLst/>
        </c:spPr>
        <c:marker>
          <c:symbol val="circle"/>
          <c:size val="5"/>
          <c:spPr>
            <a:solidFill>
              <a:schemeClr val="accent1"/>
            </a:solidFill>
            <a:ln w="9525">
              <a:solidFill>
                <a:srgbClr val="FF0000"/>
              </a:solidFill>
            </a:ln>
            <a:effectLst/>
          </c:spPr>
        </c:marker>
        <c:dLbl>
          <c:idx val="0"/>
          <c:layout/>
          <c:spPr>
            <a:solidFill>
              <a:schemeClr val="bg1"/>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'SHEET DESIGN'!$B$13</c:f>
              <c:strCache>
                <c:ptCount val="1"/>
                <c:pt idx="0">
                  <c:v>Total</c:v>
                </c:pt>
              </c:strCache>
            </c:strRef>
          </c:tx>
          <c:spPr>
            <a:ln w="31750" cap="rnd">
              <a:solidFill>
                <a:schemeClr val="accent2">
                  <a:lumMod val="50000"/>
                </a:schemeClr>
              </a:solidFill>
              <a:round/>
            </a:ln>
            <a:effectLst/>
          </c:spPr>
          <c:marker>
            <c:symbol val="circle"/>
            <c:size val="5"/>
            <c:spPr>
              <a:solidFill>
                <a:schemeClr val="accent1"/>
              </a:solidFill>
              <a:ln w="9525">
                <a:solidFill>
                  <a:srgbClr val="FF0000"/>
                </a:solidFill>
              </a:ln>
              <a:effectLst/>
            </c:spPr>
          </c:marker>
          <c:dLbls>
            <c:spPr>
              <a:solidFill>
                <a:schemeClr val="bg1"/>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 DESIGN'!$A$14:$A$24</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'SHEET DESIGN'!$B$14:$B$24</c:f>
              <c:numCache>
                <c:formatCode>General</c:formatCode>
                <c:ptCount val="11"/>
                <c:pt idx="0">
                  <c:v>1</c:v>
                </c:pt>
                <c:pt idx="1">
                  <c:v>3</c:v>
                </c:pt>
                <c:pt idx="2">
                  <c:v>2</c:v>
                </c:pt>
                <c:pt idx="3">
                  <c:v>3</c:v>
                </c:pt>
                <c:pt idx="4">
                  <c:v>5</c:v>
                </c:pt>
                <c:pt idx="5">
                  <c:v>3</c:v>
                </c:pt>
                <c:pt idx="6">
                  <c:v>2</c:v>
                </c:pt>
                <c:pt idx="7">
                  <c:v>8</c:v>
                </c:pt>
                <c:pt idx="8">
                  <c:v>11</c:v>
                </c:pt>
                <c:pt idx="9">
                  <c:v>15</c:v>
                </c:pt>
                <c:pt idx="10">
                  <c:v>13</c:v>
                </c:pt>
              </c:numCache>
            </c:numRef>
          </c:val>
          <c:smooth val="0"/>
        </c:ser>
        <c:dLbls>
          <c:dLblPos val="t"/>
          <c:showLegendKey val="0"/>
          <c:showVal val="1"/>
          <c:showCatName val="0"/>
          <c:showSerName val="0"/>
          <c:showPercent val="0"/>
          <c:showBubbleSize val="0"/>
        </c:dLbls>
        <c:marker val="1"/>
        <c:smooth val="0"/>
        <c:axId val="312485976"/>
        <c:axId val="312484016"/>
      </c:lineChart>
      <c:catAx>
        <c:axId val="312485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12484016"/>
        <c:crosses val="autoZero"/>
        <c:auto val="1"/>
        <c:lblAlgn val="ctr"/>
        <c:lblOffset val="100"/>
        <c:noMultiLvlLbl val="0"/>
      </c:catAx>
      <c:valAx>
        <c:axId val="31248401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12485976"/>
        <c:crosses val="autoZero"/>
        <c:crossBetween val="between"/>
      </c:valAx>
      <c:spPr>
        <a:noFill/>
        <a:ln>
          <a:noFill/>
        </a:ln>
        <a:effectLst/>
      </c:spPr>
    </c:plotArea>
    <c:plotVisOnly val="1"/>
    <c:dispBlanksAs val="gap"/>
    <c:showDLblsOverMax val="0"/>
  </c:chart>
  <c:spPr>
    <a:solidFill>
      <a:schemeClr val="bg1"/>
    </a:solidFill>
    <a:ln w="6350" cap="flat" cmpd="sng" algn="ctr">
      <a:solidFill>
        <a:schemeClr val="accent2">
          <a:lumMod val="50000"/>
          <a:alpha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[Paper_Leaks_Clean.xlsx]SHEET DESIGN!PivotTable6</c:name>
    <c:fmtId val="2"/>
  </c:pivotSource>
  <c:chart>
    <c:title>
      <c:tx>
        <c:rich>
          <a:bodyPr rot="0" spcFirstLastPara="1" vertOverflow="ellipsis" vert="horz" wrap="square" anchor="ctr" anchorCtr="1"/>
          <a:lstStyle/>
          <a:p>
            <a:pPr algn="ctr" rtl="0">
              <a:defRPr lang="en-IN" sz="1400" b="1" i="0" u="none" strike="noStrike" kern="1200" spc="0" baseline="0">
                <a:solidFill>
                  <a:schemeClr val="accent2">
                    <a:lumMod val="50000"/>
                  </a:schemeClr>
                </a:solidFill>
                <a:latin typeface="+mn-lt"/>
                <a:ea typeface="+mn-ea"/>
                <a:cs typeface="+mn-cs"/>
              </a:defRPr>
            </a:pPr>
            <a:r>
              <a:rPr lang="en-IN" sz="1400" b="1" i="0" u="none" strike="noStrike" kern="1200" spc="0" baseline="0">
                <a:solidFill>
                  <a:schemeClr val="accent2">
                    <a:lumMod val="50000"/>
                  </a:schemeClr>
                </a:solidFill>
                <a:latin typeface="+mn-lt"/>
                <a:ea typeface="+mn-ea"/>
                <a:cs typeface="+mn-cs"/>
              </a:rPr>
              <a:t>TOP 10 INCIDENT STATES</a:t>
            </a:r>
          </a:p>
        </c:rich>
      </c:tx>
      <c:layout/>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solidFill>
              <a:schemeClr val="accent2">
                <a:lumMod val="50000"/>
              </a:schemeClr>
            </a:solid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a:defRPr lang="en-IN"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 DESIGN'!$B$28</c:f>
              <c:strCache>
                <c:ptCount val="1"/>
                <c:pt idx="0">
                  <c:v>Total</c:v>
                </c:pt>
              </c:strCache>
            </c:strRef>
          </c:tx>
          <c:spPr>
            <a:solidFill>
              <a:schemeClr val="accent2">
                <a:lumMod val="75000"/>
              </a:schemeClr>
            </a:solidFill>
            <a:ln>
              <a:solidFill>
                <a:schemeClr val="accent2">
                  <a:lumMod val="50000"/>
                </a:schemeClr>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IN"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 DESIGN'!$A$29:$A$36</c:f>
              <c:strCache>
                <c:ptCount val="8"/>
                <c:pt idx="0">
                  <c:v>Madhya Pradesh</c:v>
                </c:pt>
                <c:pt idx="1">
                  <c:v>Kerala</c:v>
                </c:pt>
                <c:pt idx="2">
                  <c:v>Telangana</c:v>
                </c:pt>
                <c:pt idx="3">
                  <c:v>Rajasthan</c:v>
                </c:pt>
                <c:pt idx="4">
                  <c:v>Gujrat</c:v>
                </c:pt>
                <c:pt idx="5">
                  <c:v>Bihar</c:v>
                </c:pt>
                <c:pt idx="6">
                  <c:v>Maharasthra</c:v>
                </c:pt>
                <c:pt idx="7">
                  <c:v>Uttar Pradesh</c:v>
                </c:pt>
              </c:strCache>
            </c:strRef>
          </c:cat>
          <c:val>
            <c:numRef>
              <c:f>'SHEET DESIGN'!$B$29:$B$36</c:f>
              <c:numCache>
                <c:formatCode>General</c:formatCode>
                <c:ptCount val="8"/>
                <c:pt idx="0">
                  <c:v>3</c:v>
                </c:pt>
                <c:pt idx="1">
                  <c:v>3</c:v>
                </c:pt>
                <c:pt idx="2">
                  <c:v>3</c:v>
                </c:pt>
                <c:pt idx="3">
                  <c:v>3</c:v>
                </c:pt>
                <c:pt idx="4">
                  <c:v>3</c:v>
                </c:pt>
                <c:pt idx="5">
                  <c:v>5</c:v>
                </c:pt>
                <c:pt idx="6">
                  <c:v>6</c:v>
                </c:pt>
                <c:pt idx="7">
                  <c:v>11</c:v>
                </c:pt>
              </c:numCache>
            </c:numRef>
          </c:val>
        </c:ser>
        <c:dLbls>
          <c:dLblPos val="outEnd"/>
          <c:showLegendKey val="0"/>
          <c:showVal val="1"/>
          <c:showCatName val="0"/>
          <c:showSerName val="0"/>
          <c:showPercent val="0"/>
          <c:showBubbleSize val="0"/>
        </c:dLbls>
        <c:gapWidth val="142"/>
        <c:axId val="312486368"/>
        <c:axId val="312486760"/>
      </c:barChart>
      <c:catAx>
        <c:axId val="312486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IN" sz="1400" b="0" i="0" u="none" strike="noStrike" kern="1200" baseline="0">
                <a:solidFill>
                  <a:schemeClr val="tx1">
                    <a:lumMod val="75000"/>
                    <a:lumOff val="25000"/>
                  </a:schemeClr>
                </a:solidFill>
                <a:latin typeface="+mn-lt"/>
                <a:ea typeface="+mn-ea"/>
                <a:cs typeface="+mn-cs"/>
              </a:defRPr>
            </a:pPr>
            <a:endParaRPr lang="en-US"/>
          </a:p>
        </c:txPr>
        <c:crossAx val="312486760"/>
        <c:crosses val="autoZero"/>
        <c:auto val="1"/>
        <c:lblAlgn val="ctr"/>
        <c:lblOffset val="100"/>
        <c:noMultiLvlLbl val="0"/>
      </c:catAx>
      <c:valAx>
        <c:axId val="312486760"/>
        <c:scaling>
          <c:orientation val="minMax"/>
        </c:scaling>
        <c:delete val="1"/>
        <c:axPos val="b"/>
        <c:numFmt formatCode="General" sourceLinked="1"/>
        <c:majorTickMark val="none"/>
        <c:minorTickMark val="none"/>
        <c:tickLblPos val="nextTo"/>
        <c:crossAx val="312486368"/>
        <c:crosses val="autoZero"/>
        <c:crossBetween val="between"/>
      </c:valAx>
      <c:spPr>
        <a:noFill/>
        <a:ln>
          <a:noFill/>
        </a:ln>
        <a:effectLst/>
      </c:spPr>
    </c:plotArea>
    <c:plotVisOnly val="1"/>
    <c:dispBlanksAs val="gap"/>
    <c:showDLblsOverMax val="0"/>
  </c:chart>
  <c:spPr>
    <a:solidFill>
      <a:schemeClr val="bg1"/>
    </a:solidFill>
    <a:ln w="6350" cap="flat" cmpd="sng" algn="ctr">
      <a:solidFill>
        <a:schemeClr val="accent2">
          <a:lumMod val="50000"/>
          <a:alpha val="80000"/>
        </a:schemeClr>
      </a:solidFill>
      <a:round/>
    </a:ln>
    <a:effectLst/>
  </c:spPr>
  <c:txPr>
    <a:bodyPr/>
    <a:lstStyle/>
    <a:p>
      <a:pPr algn="ctr">
        <a:defRPr lang="en-IN" sz="1400" b="0"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[Paper_Leaks_Clean.xlsx]SHEET DESIGN!PivotTable7</c:name>
    <c:fmtId val="2"/>
  </c:pivotSource>
  <c:chart>
    <c:title>
      <c:tx>
        <c:rich>
          <a:bodyPr rot="0" spcFirstLastPara="1" vertOverflow="ellipsis" vert="horz" wrap="square" anchor="ctr" anchorCtr="1"/>
          <a:lstStyle/>
          <a:p>
            <a:pPr>
              <a:defRPr sz="1400" b="1" i="0" u="none" strike="noStrike" kern="1200" spc="0" baseline="0">
                <a:solidFill>
                  <a:schemeClr val="accent2">
                    <a:lumMod val="50000"/>
                  </a:schemeClr>
                </a:solidFill>
                <a:latin typeface="+mn-lt"/>
                <a:ea typeface="+mn-ea"/>
                <a:cs typeface="+mn-cs"/>
              </a:defRPr>
            </a:pPr>
            <a:r>
              <a:rPr lang="en-US" b="1">
                <a:solidFill>
                  <a:schemeClr val="accent2">
                    <a:lumMod val="50000"/>
                  </a:schemeClr>
                </a:solidFill>
              </a:rPr>
              <a:t>ACTIONS</a:t>
            </a:r>
            <a:r>
              <a:rPr lang="en-US" b="1" baseline="0">
                <a:solidFill>
                  <a:schemeClr val="accent2">
                    <a:lumMod val="50000"/>
                  </a:schemeClr>
                </a:solidFill>
              </a:rPr>
              <a:t> TAKEN AFTER PAPER LEAK</a:t>
            </a:r>
            <a:endParaRPr lang="en-US" b="1">
              <a:solidFill>
                <a:schemeClr val="accent2">
                  <a:lumMod val="50000"/>
                </a:schemeClr>
              </a:solidFill>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solidFill>
              <a:schemeClr val="accent2">
                <a:lumMod val="50000"/>
              </a:schemeClr>
            </a:solid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a:defRPr lang="en-IN"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 DESIGN'!$B$48</c:f>
              <c:strCache>
                <c:ptCount val="1"/>
                <c:pt idx="0">
                  <c:v>Total</c:v>
                </c:pt>
              </c:strCache>
            </c:strRef>
          </c:tx>
          <c:spPr>
            <a:solidFill>
              <a:schemeClr val="accent2">
                <a:lumMod val="75000"/>
              </a:schemeClr>
            </a:solidFill>
            <a:ln>
              <a:solidFill>
                <a:schemeClr val="accent2">
                  <a:lumMod val="50000"/>
                </a:schemeClr>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IN"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 DESIGN'!$A$49:$A$55</c:f>
              <c:strCache>
                <c:ptCount val="6"/>
                <c:pt idx="0">
                  <c:v>Claim dissmissed</c:v>
                </c:pt>
                <c:pt idx="1">
                  <c:v>No action taken</c:v>
                </c:pt>
                <c:pt idx="2">
                  <c:v>No Rexam</c:v>
                </c:pt>
                <c:pt idx="3">
                  <c:v>Chargesheet</c:v>
                </c:pt>
                <c:pt idx="4">
                  <c:v>Legal action taken</c:v>
                </c:pt>
                <c:pt idx="5">
                  <c:v>Exam Cancelled</c:v>
                </c:pt>
              </c:strCache>
            </c:strRef>
          </c:cat>
          <c:val>
            <c:numRef>
              <c:f>'SHEET DESIGN'!$B$49:$B$55</c:f>
              <c:numCache>
                <c:formatCode>General</c:formatCode>
                <c:ptCount val="6"/>
                <c:pt idx="0">
                  <c:v>1</c:v>
                </c:pt>
                <c:pt idx="1">
                  <c:v>1</c:v>
                </c:pt>
                <c:pt idx="2">
                  <c:v>2</c:v>
                </c:pt>
                <c:pt idx="3">
                  <c:v>3</c:v>
                </c:pt>
                <c:pt idx="4">
                  <c:v>19</c:v>
                </c:pt>
                <c:pt idx="5">
                  <c:v>30</c:v>
                </c:pt>
              </c:numCache>
            </c:numRef>
          </c:val>
        </c:ser>
        <c:dLbls>
          <c:dLblPos val="outEnd"/>
          <c:showLegendKey val="0"/>
          <c:showVal val="1"/>
          <c:showCatName val="0"/>
          <c:showSerName val="0"/>
          <c:showPercent val="0"/>
          <c:showBubbleSize val="0"/>
        </c:dLbls>
        <c:gapWidth val="91"/>
        <c:axId val="312487152"/>
        <c:axId val="312487544"/>
      </c:barChart>
      <c:catAx>
        <c:axId val="312487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crossAx val="312487544"/>
        <c:crosses val="autoZero"/>
        <c:auto val="1"/>
        <c:lblAlgn val="ctr"/>
        <c:lblOffset val="100"/>
        <c:noMultiLvlLbl val="0"/>
      </c:catAx>
      <c:valAx>
        <c:axId val="312487544"/>
        <c:scaling>
          <c:orientation val="minMax"/>
        </c:scaling>
        <c:delete val="1"/>
        <c:axPos val="b"/>
        <c:numFmt formatCode="General" sourceLinked="1"/>
        <c:majorTickMark val="none"/>
        <c:minorTickMark val="none"/>
        <c:tickLblPos val="nextTo"/>
        <c:crossAx val="312487152"/>
        <c:crosses val="autoZero"/>
        <c:crossBetween val="between"/>
      </c:valAx>
      <c:spPr>
        <a:noFill/>
        <a:ln>
          <a:noFill/>
        </a:ln>
        <a:effectLst/>
      </c:spPr>
    </c:plotArea>
    <c:plotVisOnly val="1"/>
    <c:dispBlanksAs val="gap"/>
    <c:showDLblsOverMax val="0"/>
  </c:chart>
  <c:spPr>
    <a:solidFill>
      <a:schemeClr val="bg1"/>
    </a:solidFill>
    <a:ln w="6350" cap="flat" cmpd="sng" algn="ctr">
      <a:solidFill>
        <a:schemeClr val="accent2">
          <a:lumMod val="50000"/>
          <a:alpha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[Paper_Leaks_Clean.xlsx]SHEET DESIGN!PivotTable9</c:name>
    <c:fmtId val="3"/>
  </c:pivotSource>
  <c:chart>
    <c:title>
      <c:tx>
        <c:rich>
          <a:bodyPr rot="0" spcFirstLastPara="1" vertOverflow="ellipsis" vert="horz" wrap="square" anchor="ctr" anchorCtr="1"/>
          <a:lstStyle/>
          <a:p>
            <a:pPr algn="ctr" rtl="0">
              <a:defRPr lang="en-US" sz="1400" b="1" i="0" u="none" strike="noStrike" kern="1200" spc="0" baseline="0">
                <a:solidFill>
                  <a:schemeClr val="accent2">
                    <a:lumMod val="50000"/>
                  </a:schemeClr>
                </a:solidFill>
                <a:latin typeface="+mn-lt"/>
                <a:ea typeface="+mn-ea"/>
                <a:cs typeface="+mn-cs"/>
              </a:defRPr>
            </a:pPr>
            <a:r>
              <a:rPr lang="en-US" sz="1400" b="1" i="0" u="none" strike="noStrike" kern="1200" spc="0" baseline="0">
                <a:solidFill>
                  <a:schemeClr val="accent2">
                    <a:lumMod val="50000"/>
                  </a:schemeClr>
                </a:solidFill>
                <a:latin typeface="+mn-lt"/>
                <a:ea typeface="+mn-ea"/>
                <a:cs typeface="+mn-cs"/>
              </a:rPr>
              <a:t>PAPER LEAK STATUS</a:t>
            </a:r>
          </a:p>
        </c:rich>
      </c:tx>
      <c:layout>
        <c:manualLayout>
          <c:xMode val="edge"/>
          <c:yMode val="edge"/>
          <c:x val="0.20701785714285714"/>
          <c:y val="2.6473234991937912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2">
              <a:lumMod val="75000"/>
            </a:schemeClr>
          </a:solidFill>
          <a:ln w="19050">
            <a:solidFill>
              <a:schemeClr val="lt1"/>
            </a:solidFill>
          </a:ln>
          <a:effectLst/>
        </c:spPr>
        <c:marker>
          <c:symbol val="none"/>
        </c:marker>
        <c:dLbl>
          <c:idx val="0"/>
          <c:numFmt formatCode="0%" sourceLinked="0"/>
          <c:spPr>
            <a:solidFill>
              <a:schemeClr val="bg1"/>
            </a:solidFill>
            <a:ln>
              <a:noFill/>
            </a:ln>
            <a:effectLst/>
          </c:spPr>
          <c:txPr>
            <a:bodyPr rot="0" spcFirstLastPara="1" vertOverflow="ellipsis" vert="horz" wrap="square" lIns="38100" tIns="19050" rIns="38100" bIns="19050" anchor="ctr" anchorCtr="0">
              <a:spAutoFit/>
            </a:bodyPr>
            <a:lstStyle/>
            <a:p>
              <a:pPr algn="ctr">
                <a:defRPr lang="en-IN"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bg2">
              <a:lumMod val="50000"/>
            </a:schemeClr>
          </a:solidFill>
          <a:ln w="19050">
            <a:solidFill>
              <a:schemeClr val="lt1"/>
            </a:solidFill>
          </a:ln>
          <a:effectLst/>
        </c:spPr>
        <c:dLbl>
          <c:idx val="0"/>
          <c:layout>
            <c:manualLayout>
              <c:x val="0.17134920634920636"/>
              <c:y val="-0.15452559742908747"/>
            </c:manualLayout>
          </c:layout>
          <c:numFmt formatCode="0%" sourceLinked="0"/>
          <c:spPr>
            <a:solidFill>
              <a:schemeClr val="bg1"/>
            </a:solidFill>
            <a:ln>
              <a:noFill/>
            </a:ln>
            <a:effectLst/>
          </c:spPr>
          <c:txPr>
            <a:bodyPr rot="0" spcFirstLastPara="1" vertOverflow="ellipsis" vert="horz" wrap="square" lIns="38100" tIns="19050" rIns="38100" bIns="19050" anchor="ctr" anchorCtr="0">
              <a:spAutoFit/>
            </a:bodyPr>
            <a:lstStyle/>
            <a:p>
              <a:pPr algn="ctr">
                <a:defRPr lang="en-IN"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279444444444444"/>
                  <c:h val="0.17702424563642299"/>
                </c:manualLayout>
              </c15:layout>
            </c:ext>
          </c:extLst>
        </c:dLbl>
      </c:pivotFmt>
      <c:pivotFmt>
        <c:idx val="11"/>
        <c:spPr>
          <a:solidFill>
            <a:schemeClr val="accent2">
              <a:lumMod val="75000"/>
            </a:schemeClr>
          </a:solidFill>
          <a:ln w="19050">
            <a:solidFill>
              <a:schemeClr val="lt1"/>
            </a:solidFill>
          </a:ln>
          <a:effectLst/>
        </c:spPr>
        <c:dLbl>
          <c:idx val="0"/>
          <c:layout>
            <c:manualLayout>
              <c:x val="-0.19906765873015872"/>
              <c:y val="0.12980129742894134"/>
            </c:manualLayout>
          </c:layout>
          <c:numFmt formatCode="0%" sourceLinked="0"/>
          <c:spPr>
            <a:solidFill>
              <a:schemeClr val="bg1"/>
            </a:solidFill>
            <a:ln>
              <a:noFill/>
            </a:ln>
            <a:effectLst/>
          </c:spPr>
          <c:txPr>
            <a:bodyPr rot="0" spcFirstLastPara="1" vertOverflow="ellipsis" vert="horz" wrap="square" lIns="38100" tIns="19050" rIns="38100" bIns="19050" anchor="ctr" anchorCtr="0">
              <a:noAutofit/>
            </a:bodyPr>
            <a:lstStyle/>
            <a:p>
              <a:pPr algn="ctr" rtl="0">
                <a:defRPr lang="en-IN"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775476190476188"/>
                  <c:h val="0.17702424563642302"/>
                </c:manualLayout>
              </c15:layout>
            </c:ext>
          </c:extLst>
        </c:dLbl>
      </c:pivotFmt>
    </c:pivotFmts>
    <c:plotArea>
      <c:layout>
        <c:manualLayout>
          <c:layoutTarget val="inner"/>
          <c:xMode val="edge"/>
          <c:yMode val="edge"/>
          <c:x val="0.22347261904761906"/>
          <c:y val="0.13305333333333333"/>
          <c:w val="0.56381111111111115"/>
          <c:h val="0.78933555555555557"/>
        </c:manualLayout>
      </c:layout>
      <c:doughnutChart>
        <c:varyColors val="1"/>
        <c:ser>
          <c:idx val="0"/>
          <c:order val="0"/>
          <c:tx>
            <c:strRef>
              <c:f>'SHEET DESIGN'!$I$47</c:f>
              <c:strCache>
                <c:ptCount val="1"/>
                <c:pt idx="0">
                  <c:v>Total</c:v>
                </c:pt>
              </c:strCache>
            </c:strRef>
          </c:tx>
          <c:spPr>
            <a:solidFill>
              <a:schemeClr val="accent2">
                <a:lumMod val="75000"/>
              </a:schemeClr>
            </a:solidFill>
          </c:spPr>
          <c:dPt>
            <c:idx val="0"/>
            <c:bubble3D val="0"/>
            <c:spPr>
              <a:solidFill>
                <a:schemeClr val="bg2">
                  <a:lumMod val="50000"/>
                </a:schemeClr>
              </a:solidFill>
              <a:ln w="19050">
                <a:solidFill>
                  <a:schemeClr val="lt1"/>
                </a:solidFill>
              </a:ln>
              <a:effectLst/>
            </c:spPr>
          </c:dPt>
          <c:dPt>
            <c:idx val="1"/>
            <c:bubble3D val="0"/>
            <c:spPr>
              <a:solidFill>
                <a:schemeClr val="accent2">
                  <a:lumMod val="75000"/>
                </a:schemeClr>
              </a:solidFill>
              <a:ln w="19050">
                <a:solidFill>
                  <a:schemeClr val="lt1"/>
                </a:solidFill>
              </a:ln>
              <a:effectLst/>
            </c:spPr>
          </c:dPt>
          <c:dPt>
            <c:idx val="2"/>
            <c:bubble3D val="0"/>
            <c:spPr>
              <a:solidFill>
                <a:schemeClr val="accent2">
                  <a:lumMod val="75000"/>
                </a:schemeClr>
              </a:solidFill>
              <a:ln w="19050">
                <a:solidFill>
                  <a:schemeClr val="lt1"/>
                </a:solidFill>
              </a:ln>
              <a:effectLst/>
            </c:spPr>
          </c:dPt>
          <c:dLbls>
            <c:dLbl>
              <c:idx val="0"/>
              <c:layout>
                <c:manualLayout>
                  <c:x val="0.17134920634920636"/>
                  <c:y val="-0.15452559742908747"/>
                </c:manualLayout>
              </c:layout>
              <c:showLegendKey val="0"/>
              <c:showVal val="1"/>
              <c:showCatName val="0"/>
              <c:showSerName val="0"/>
              <c:showPercent val="1"/>
              <c:showBubbleSize val="0"/>
              <c:extLst>
                <c:ext xmlns:c15="http://schemas.microsoft.com/office/drawing/2012/chart" uri="{CE6537A1-D6FC-4f65-9D91-7224C49458BB}">
                  <c15:layout>
                    <c:manualLayout>
                      <c:w val="0.26279444444444444"/>
                      <c:h val="0.17702424563642299"/>
                    </c:manualLayout>
                  </c15:layout>
                </c:ext>
              </c:extLst>
            </c:dLbl>
            <c:dLbl>
              <c:idx val="1"/>
              <c:layout>
                <c:manualLayout>
                  <c:x val="-0.19906765873015872"/>
                  <c:y val="0.12980129742894134"/>
                </c:manualLayout>
              </c:layout>
              <c:numFmt formatCode="0%" sourceLinked="0"/>
              <c:spPr>
                <a:solidFill>
                  <a:schemeClr val="bg1"/>
                </a:solidFill>
                <a:ln>
                  <a:noFill/>
                </a:ln>
                <a:effectLst/>
              </c:spPr>
              <c:txPr>
                <a:bodyPr rot="0" spcFirstLastPara="1" vertOverflow="ellipsis" vert="horz" wrap="square" lIns="38100" tIns="19050" rIns="38100" bIns="19050" anchor="ctr" anchorCtr="0">
                  <a:noAutofit/>
                </a:bodyPr>
                <a:lstStyle/>
                <a:p>
                  <a:pPr algn="ctr" rtl="0">
                    <a:defRPr lang="en-IN"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775476190476188"/>
                      <c:h val="0.17702424563642302"/>
                    </c:manualLayout>
                  </c15:layout>
                </c:ext>
              </c:extLst>
            </c:dLbl>
            <c:numFmt formatCode="0%" sourceLinked="0"/>
            <c:spPr>
              <a:solidFill>
                <a:schemeClr val="bg1"/>
              </a:solidFill>
              <a:ln>
                <a:noFill/>
              </a:ln>
              <a:effectLst/>
            </c:spPr>
            <c:txPr>
              <a:bodyPr rot="0" spcFirstLastPara="1" vertOverflow="ellipsis" vert="horz" wrap="square" lIns="38100" tIns="19050" rIns="38100" bIns="19050" anchor="ctr" anchorCtr="0">
                <a:spAutoFit/>
              </a:bodyPr>
              <a:lstStyle/>
              <a:p>
                <a:pPr algn="ctr">
                  <a:defRPr lang="en-IN"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DESIGN'!$H$48:$H$50</c:f>
              <c:strCache>
                <c:ptCount val="2"/>
                <c:pt idx="0">
                  <c:v>accused</c:v>
                </c:pt>
                <c:pt idx="1">
                  <c:v>confirmed</c:v>
                </c:pt>
              </c:strCache>
            </c:strRef>
          </c:cat>
          <c:val>
            <c:numRef>
              <c:f>'SHEET DESIGN'!$I$48:$I$50</c:f>
              <c:numCache>
                <c:formatCode>General</c:formatCode>
                <c:ptCount val="2"/>
                <c:pt idx="0">
                  <c:v>18</c:v>
                </c:pt>
                <c:pt idx="1">
                  <c:v>48</c:v>
                </c:pt>
              </c:numCache>
            </c:numRef>
          </c:val>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b"/>
      <c:layout>
        <c:manualLayout>
          <c:xMode val="edge"/>
          <c:yMode val="edge"/>
          <c:x val="0.18662777777777778"/>
          <c:y val="0.88048784927057078"/>
          <c:w val="0.70719918010692095"/>
          <c:h val="0.118789655166679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6350" cap="flat" cmpd="sng" algn="ctr">
      <a:solidFill>
        <a:schemeClr val="accent2">
          <a:lumMod val="50000"/>
          <a:alpha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[Paper_Leaks_Clean.xlsx]SHEET DESIGN!PivotTable8</c:name>
    <c:fmtId val="4"/>
  </c:pivotSource>
  <c:chart>
    <c:title>
      <c:tx>
        <c:rich>
          <a:bodyPr rot="0" spcFirstLastPara="1" vertOverflow="ellipsis" vert="horz" wrap="square" anchor="ctr" anchorCtr="1"/>
          <a:lstStyle/>
          <a:p>
            <a:pPr>
              <a:defRPr lang="en-IN" sz="840" b="1" i="0" u="none" strike="noStrike" kern="1200" spc="0" baseline="0">
                <a:solidFill>
                  <a:schemeClr val="accent2">
                    <a:lumMod val="50000"/>
                  </a:schemeClr>
                </a:solidFill>
                <a:latin typeface="+mn-lt"/>
                <a:ea typeface="+mn-ea"/>
                <a:cs typeface="+mn-cs"/>
              </a:defRPr>
            </a:pPr>
            <a:r>
              <a:rPr lang="en-US"/>
              <a:t>INCDENTS BY  CONDUCTING BODY TYPE</a:t>
            </a:r>
          </a:p>
        </c:rich>
      </c:tx>
      <c:layout/>
      <c:overlay val="0"/>
      <c:spPr>
        <a:noFill/>
        <a:ln>
          <a:noFill/>
        </a:ln>
        <a:effectLst/>
      </c:spPr>
      <c:txPr>
        <a:bodyPr rot="0" spcFirstLastPara="1" vertOverflow="ellipsis" vert="horz" wrap="square" anchor="ctr" anchorCtr="1"/>
        <a:lstStyle/>
        <a:p>
          <a:pPr>
            <a:defRPr lang="en-IN" sz="840" b="1"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IN" sz="1400" b="0" i="0" u="none" strike="noStrike" kern="1200" spc="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2">
              <a:lumMod val="75000"/>
            </a:schemeClr>
          </a:solidFill>
          <a:ln w="19050">
            <a:solidFill>
              <a:schemeClr val="lt1"/>
            </a:solidFill>
          </a:ln>
          <a:effectLst/>
        </c:spPr>
        <c:dLbl>
          <c:idx val="0"/>
          <c:layout>
            <c:manualLayout>
              <c:x val="0.17808511904761892"/>
              <c:y val="-9.8896226612526825E-2"/>
            </c:manualLayout>
          </c:layout>
          <c:spPr>
            <a:solidFill>
              <a:schemeClr val="bg1"/>
            </a:solidFill>
            <a:ln>
              <a:noFill/>
            </a:ln>
            <a:effectLst/>
          </c:spPr>
          <c:txPr>
            <a:bodyPr rot="0" spcFirstLastPara="1" vertOverflow="ellipsis" vert="horz" wrap="square" lIns="38100" tIns="19050" rIns="38100" bIns="19050" anchor="ctr" anchorCtr="0">
              <a:noAutofit/>
            </a:bodyPr>
            <a:lstStyle/>
            <a:p>
              <a:pPr algn="ctr">
                <a:defRPr lang="en-IN" sz="1400" b="0" i="0" u="none" strike="noStrike" kern="1200" spc="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860238095238092"/>
                  <c:h val="9.1602629899852975E-2"/>
                </c:manualLayout>
              </c15:layout>
            </c:ext>
          </c:extLst>
        </c:dLbl>
      </c:pivotFmt>
      <c:pivotFmt>
        <c:idx val="7"/>
        <c:spPr>
          <a:solidFill>
            <a:schemeClr val="tx2">
              <a:lumMod val="75000"/>
            </a:schemeClr>
          </a:solidFill>
          <a:ln w="19050">
            <a:solidFill>
              <a:schemeClr val="lt1"/>
            </a:solidFill>
          </a:ln>
          <a:effectLst/>
        </c:spPr>
        <c:dLbl>
          <c:idx val="0"/>
          <c:layout>
            <c:manualLayout>
              <c:x val="0.15623015873015872"/>
              <c:y val="0.2596025948578829"/>
            </c:manualLayout>
          </c:layout>
          <c:spPr>
            <a:solidFill>
              <a:schemeClr val="bg1"/>
            </a:solidFill>
            <a:ln>
              <a:noFill/>
            </a:ln>
            <a:effectLst/>
          </c:spPr>
          <c:txPr>
            <a:bodyPr rot="0" spcFirstLastPara="1" vertOverflow="ellipsis" vert="horz" wrap="square" lIns="38100" tIns="19050" rIns="38100" bIns="19050" anchor="ctr" anchorCtr="0">
              <a:spAutoFit/>
            </a:bodyPr>
            <a:lstStyle/>
            <a:p>
              <a:pPr algn="ctr">
                <a:defRPr lang="en-IN" sz="1400" b="0" i="0" u="none" strike="noStrike" kern="1200" spc="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073325396825397"/>
                  <c:h val="9.7783644063135902E-2"/>
                </c:manualLayout>
              </c15:layout>
            </c:ext>
          </c:extLst>
        </c:dLbl>
      </c:pivotFmt>
      <c:pivotFmt>
        <c:idx val="8"/>
        <c:spPr>
          <a:solidFill>
            <a:schemeClr val="bg2">
              <a:lumMod val="50000"/>
            </a:schemeClr>
          </a:solidFill>
          <a:ln w="19050">
            <a:solidFill>
              <a:schemeClr val="lt1"/>
            </a:solidFill>
          </a:ln>
          <a:effectLst/>
        </c:spPr>
        <c:dLbl>
          <c:idx val="0"/>
          <c:layout>
            <c:manualLayout>
              <c:x val="-0.18394841269841269"/>
              <c:y val="0.13598231159222438"/>
            </c:manualLayout>
          </c:layout>
          <c:spPr>
            <a:solidFill>
              <a:schemeClr val="bg1"/>
            </a:solidFill>
            <a:ln>
              <a:noFill/>
            </a:ln>
            <a:effectLst/>
          </c:spPr>
          <c:txPr>
            <a:bodyPr rot="0" spcFirstLastPara="1" vertOverflow="ellipsis" vert="horz" wrap="square" lIns="38100" tIns="19050" rIns="38100" bIns="19050" anchor="ctr" anchorCtr="0">
              <a:noAutofit/>
            </a:bodyPr>
            <a:lstStyle/>
            <a:p>
              <a:pPr algn="ctr" rtl="0">
                <a:defRPr lang="en-IN" sz="1400" b="0" i="0" u="none" strike="noStrike" kern="1200" spc="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311190476190475"/>
                  <c:h val="0.15230018898329131"/>
                </c:manualLayout>
              </c15:layout>
            </c:ext>
          </c:extLst>
        </c:dLbl>
      </c:pivotFmt>
    </c:pivotFmts>
    <c:plotArea>
      <c:layout>
        <c:manualLayout>
          <c:layoutTarget val="inner"/>
          <c:xMode val="edge"/>
          <c:yMode val="edge"/>
          <c:x val="0.21082751983171724"/>
          <c:y val="0.15422024923689701"/>
          <c:w val="0.58686202299785362"/>
          <c:h val="0.70715080312191858"/>
        </c:manualLayout>
      </c:layout>
      <c:doughnutChart>
        <c:varyColors val="1"/>
        <c:ser>
          <c:idx val="0"/>
          <c:order val="0"/>
          <c:tx>
            <c:strRef>
              <c:f>'SHEET DESIGN'!$I$31</c:f>
              <c:strCache>
                <c:ptCount val="1"/>
                <c:pt idx="0">
                  <c:v>Total</c:v>
                </c:pt>
              </c:strCache>
            </c:strRef>
          </c:tx>
          <c:dPt>
            <c:idx val="0"/>
            <c:bubble3D val="0"/>
            <c:spPr>
              <a:solidFill>
                <a:schemeClr val="accent2">
                  <a:lumMod val="75000"/>
                </a:schemeClr>
              </a:solidFill>
              <a:ln w="19050">
                <a:solidFill>
                  <a:schemeClr val="lt1"/>
                </a:solidFill>
              </a:ln>
              <a:effectLst/>
            </c:spPr>
          </c:dPt>
          <c:dPt>
            <c:idx val="1"/>
            <c:bubble3D val="0"/>
            <c:spPr>
              <a:solidFill>
                <a:schemeClr val="tx2">
                  <a:lumMod val="75000"/>
                </a:schemeClr>
              </a:solidFill>
              <a:ln w="19050">
                <a:solidFill>
                  <a:schemeClr val="lt1"/>
                </a:solidFill>
              </a:ln>
              <a:effectLst/>
            </c:spPr>
          </c:dPt>
          <c:dPt>
            <c:idx val="2"/>
            <c:bubble3D val="0"/>
            <c:spPr>
              <a:solidFill>
                <a:schemeClr val="bg2">
                  <a:lumMod val="50000"/>
                </a:schemeClr>
              </a:solidFill>
              <a:ln w="19050">
                <a:solidFill>
                  <a:schemeClr val="lt1"/>
                </a:solidFill>
              </a:ln>
              <a:effectLst/>
            </c:spPr>
          </c:dPt>
          <c:dLbls>
            <c:dLbl>
              <c:idx val="0"/>
              <c:layout>
                <c:manualLayout>
                  <c:x val="0.17808511904761892"/>
                  <c:y val="-9.8896226612526825E-2"/>
                </c:manualLayout>
              </c:layout>
              <c:spPr>
                <a:solidFill>
                  <a:schemeClr val="bg1"/>
                </a:solidFill>
                <a:ln>
                  <a:noFill/>
                </a:ln>
                <a:effectLst/>
              </c:spPr>
              <c:txPr>
                <a:bodyPr rot="0" spcFirstLastPara="1" vertOverflow="ellipsis" vert="horz" wrap="square" lIns="38100" tIns="19050" rIns="38100" bIns="19050" anchor="ctr" anchorCtr="0">
                  <a:noAutofit/>
                </a:bodyPr>
                <a:lstStyle/>
                <a:p>
                  <a:pPr algn="ctr">
                    <a:defRPr lang="en-IN" sz="1400" b="0" i="0" u="none" strike="noStrike" kern="1200" spc="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860238095238092"/>
                      <c:h val="9.1602629899852975E-2"/>
                    </c:manualLayout>
                  </c15:layout>
                </c:ext>
              </c:extLst>
            </c:dLbl>
            <c:dLbl>
              <c:idx val="1"/>
              <c:layout>
                <c:manualLayout>
                  <c:x val="0.15623015873015872"/>
                  <c:y val="0.2596025948578829"/>
                </c:manualLayout>
              </c:layout>
              <c:spPr>
                <a:solidFill>
                  <a:schemeClr val="bg1"/>
                </a:solidFill>
                <a:ln>
                  <a:noFill/>
                </a:ln>
                <a:effectLst/>
              </c:spPr>
              <c:txPr>
                <a:bodyPr rot="0" spcFirstLastPara="1" vertOverflow="ellipsis" vert="horz" wrap="square" lIns="38100" tIns="19050" rIns="38100" bIns="19050" anchor="ctr" anchorCtr="0">
                  <a:spAutoFit/>
                </a:bodyPr>
                <a:lstStyle/>
                <a:p>
                  <a:pPr algn="ctr">
                    <a:defRPr lang="en-IN" sz="1400" b="0" i="0" u="none" strike="noStrike" kern="1200" spc="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073325396825397"/>
                      <c:h val="9.7783644063135902E-2"/>
                    </c:manualLayout>
                  </c15:layout>
                </c:ext>
              </c:extLst>
            </c:dLbl>
            <c:dLbl>
              <c:idx val="2"/>
              <c:layout>
                <c:manualLayout>
                  <c:x val="-0.18394841269841269"/>
                  <c:y val="0.13598231159222438"/>
                </c:manualLayout>
              </c:layout>
              <c:spPr>
                <a:solidFill>
                  <a:schemeClr val="bg1"/>
                </a:solidFill>
                <a:ln>
                  <a:noFill/>
                </a:ln>
                <a:effectLst/>
              </c:spPr>
              <c:txPr>
                <a:bodyPr rot="0" spcFirstLastPara="1" vertOverflow="ellipsis" vert="horz" wrap="square" lIns="38100" tIns="19050" rIns="38100" bIns="19050" anchor="ctr" anchorCtr="0">
                  <a:noAutofit/>
                </a:bodyPr>
                <a:lstStyle/>
                <a:p>
                  <a:pPr algn="ctr" rtl="0">
                    <a:defRPr lang="en-IN" sz="1400" b="0" i="0" u="none" strike="noStrike" kern="1200" spc="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311190476190475"/>
                      <c:h val="0.15230018898329131"/>
                    </c:manualLayout>
                  </c15:layout>
                </c:ext>
              </c:extLst>
            </c:dLbl>
            <c:spPr>
              <a:noFill/>
              <a:ln>
                <a:noFill/>
              </a:ln>
              <a:effectLst/>
            </c:spPr>
            <c:txPr>
              <a:bodyPr rot="0" spcFirstLastPara="1" vertOverflow="ellipsis" vert="horz" wrap="square" lIns="38100" tIns="19050" rIns="38100" bIns="19050" anchor="ctr" anchorCtr="0">
                <a:spAutoFit/>
              </a:bodyPr>
              <a:lstStyle/>
              <a:p>
                <a:pPr algn="ctr">
                  <a:defRPr lang="en-IN" sz="1400" b="0" i="0" u="none" strike="noStrike" kern="1200" spc="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DESIGN'!$H$32:$H$35</c:f>
              <c:strCache>
                <c:ptCount val="3"/>
                <c:pt idx="0">
                  <c:v>Central</c:v>
                </c:pt>
                <c:pt idx="1">
                  <c:v>Private</c:v>
                </c:pt>
                <c:pt idx="2">
                  <c:v>State</c:v>
                </c:pt>
              </c:strCache>
            </c:strRef>
          </c:cat>
          <c:val>
            <c:numRef>
              <c:f>'SHEET DESIGN'!$I$32:$I$35</c:f>
              <c:numCache>
                <c:formatCode>General</c:formatCode>
                <c:ptCount val="3"/>
                <c:pt idx="0">
                  <c:v>13</c:v>
                </c:pt>
                <c:pt idx="1">
                  <c:v>3</c:v>
                </c:pt>
                <c:pt idx="2">
                  <c:v>50</c:v>
                </c:pt>
              </c:numCache>
            </c:numRef>
          </c:val>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b"/>
      <c:layout>
        <c:manualLayout>
          <c:xMode val="edge"/>
          <c:yMode val="edge"/>
          <c:x val="0.19166746031746029"/>
          <c:y val="0.87863554355692541"/>
          <c:w val="0.70719918010692095"/>
          <c:h val="0.1187896551666799"/>
        </c:manualLayout>
      </c:layout>
      <c:overlay val="0"/>
      <c:spPr>
        <a:noFill/>
        <a:ln>
          <a:noFill/>
        </a:ln>
        <a:effectLst/>
      </c:spPr>
      <c:txPr>
        <a:bodyPr rot="0" spcFirstLastPara="1" vertOverflow="ellipsis" vert="horz" wrap="square" anchor="ctr" anchorCtr="1"/>
        <a:lstStyle/>
        <a:p>
          <a:pPr>
            <a:defRPr lang="en-IN" sz="1200" b="0" i="0" u="none" strike="noStrike" kern="1200" spc="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6350" cap="flat" cmpd="sng" algn="ctr">
      <a:solidFill>
        <a:schemeClr val="accent2">
          <a:lumMod val="50000"/>
          <a:alpha val="80000"/>
        </a:schemeClr>
      </a:solidFill>
      <a:round/>
    </a:ln>
    <a:effectLst/>
  </c:spPr>
  <c:txPr>
    <a:bodyPr/>
    <a:lstStyle/>
    <a:p>
      <a:pPr algn="ctr" rtl="0">
        <a:defRPr lang="en-IN" sz="700" b="1" i="0" u="none" strike="noStrike" kern="1200" spc="0" baseline="0">
          <a:solidFill>
            <a:schemeClr val="accent2">
              <a:lumMod val="5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7.xml"/><Relationship Id="rId7" Type="http://schemas.openxmlformats.org/officeDocument/2006/relationships/hyperlink" Target="#DATASET!A1"/><Relationship Id="rId2" Type="http://schemas.openxmlformats.org/officeDocument/2006/relationships/chart" Target="../charts/chart6.xml"/><Relationship Id="rId1" Type="http://schemas.openxmlformats.org/officeDocument/2006/relationships/image" Target="../media/image1.jpeg"/><Relationship Id="rId6" Type="http://schemas.openxmlformats.org/officeDocument/2006/relationships/chart" Target="../charts/chart10.xml"/><Relationship Id="rId5" Type="http://schemas.openxmlformats.org/officeDocument/2006/relationships/chart" Target="../charts/chart9.xml"/><Relationship Id="rId10" Type="http://schemas.openxmlformats.org/officeDocument/2006/relationships/image" Target="../media/image3.png"/><Relationship Id="rId4" Type="http://schemas.openxmlformats.org/officeDocument/2006/relationships/chart" Target="../charts/chart8.xml"/><Relationship Id="rId9" Type="http://schemas.openxmlformats.org/officeDocument/2006/relationships/hyperlink" Target="#'SHEET DESIGN'!A1"/></Relationships>
</file>

<file path=xl/drawings/drawing1.xml><?xml version="1.0" encoding="utf-8"?>
<xdr:wsDr xmlns:xdr="http://schemas.openxmlformats.org/drawingml/2006/spreadsheetDrawing" xmlns:a="http://schemas.openxmlformats.org/drawingml/2006/main">
  <xdr:twoCellAnchor>
    <xdr:from>
      <xdr:col>2</xdr:col>
      <xdr:colOff>119061</xdr:colOff>
      <xdr:row>13</xdr:row>
      <xdr:rowOff>28574</xdr:rowOff>
    </xdr:from>
    <xdr:to>
      <xdr:col>7</xdr:col>
      <xdr:colOff>247650</xdr:colOff>
      <xdr:row>22</xdr:row>
      <xdr:rowOff>133349</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151278</xdr:colOff>
      <xdr:row>27</xdr:row>
      <xdr:rowOff>23531</xdr:rowOff>
    </xdr:from>
    <xdr:to>
      <xdr:col>4</xdr:col>
      <xdr:colOff>515470</xdr:colOff>
      <xdr:row>43</xdr:row>
      <xdr:rowOff>78440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120462</xdr:colOff>
      <xdr:row>47</xdr:row>
      <xdr:rowOff>88975</xdr:rowOff>
    </xdr:from>
    <xdr:to>
      <xdr:col>5</xdr:col>
      <xdr:colOff>253813</xdr:colOff>
      <xdr:row>60</xdr:row>
      <xdr:rowOff>184336</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100853</xdr:colOff>
      <xdr:row>30</xdr:row>
      <xdr:rowOff>134469</xdr:rowOff>
    </xdr:from>
    <xdr:to>
      <xdr:col>12</xdr:col>
      <xdr:colOff>459442</xdr:colOff>
      <xdr:row>40</xdr:row>
      <xdr:rowOff>33616</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168090</xdr:colOff>
      <xdr:row>46</xdr:row>
      <xdr:rowOff>23533</xdr:rowOff>
    </xdr:from>
    <xdr:to>
      <xdr:col>13</xdr:col>
      <xdr:colOff>257736</xdr:colOff>
      <xdr:row>55</xdr:row>
      <xdr:rowOff>22412</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231321</xdr:colOff>
      <xdr:row>1</xdr:row>
      <xdr:rowOff>97651</xdr:rowOff>
    </xdr:from>
    <xdr:to>
      <xdr:col>21</xdr:col>
      <xdr:colOff>156347</xdr:colOff>
      <xdr:row>33</xdr:row>
      <xdr:rowOff>149679</xdr:rowOff>
    </xdr:to>
    <xdr:sp macro="" textlink="">
      <xdr:nvSpPr>
        <xdr:cNvPr id="2" name="Rectangle 1"/>
        <xdr:cNvSpPr/>
      </xdr:nvSpPr>
      <xdr:spPr>
        <a:xfrm>
          <a:off x="231321" y="288151"/>
          <a:ext cx="12783776" cy="6202457"/>
        </a:xfrm>
        <a:prstGeom prst="rect">
          <a:avLst/>
        </a:prstGeom>
        <a:blipFill>
          <a:blip xmlns:r="http://schemas.openxmlformats.org/officeDocument/2006/relationships" r:embed="rId1"/>
          <a:tile tx="0" ty="0" sx="100000" sy="100000" flip="none" algn="tl"/>
        </a:blipFill>
        <a:ln w="6350">
          <a:solidFill>
            <a:schemeClr val="tx1">
              <a:lumMod val="95000"/>
              <a:lumOff val="5000"/>
              <a:alpha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462643</xdr:colOff>
      <xdr:row>2</xdr:row>
      <xdr:rowOff>1</xdr:rowOff>
    </xdr:from>
    <xdr:to>
      <xdr:col>20</xdr:col>
      <xdr:colOff>489857</xdr:colOff>
      <xdr:row>5</xdr:row>
      <xdr:rowOff>40822</xdr:rowOff>
    </xdr:to>
    <xdr:sp macro="" textlink="">
      <xdr:nvSpPr>
        <xdr:cNvPr id="3" name="Rounded Rectangle 2"/>
        <xdr:cNvSpPr/>
      </xdr:nvSpPr>
      <xdr:spPr>
        <a:xfrm>
          <a:off x="462643" y="381001"/>
          <a:ext cx="12273643" cy="612321"/>
        </a:xfrm>
        <a:prstGeom prst="roundRect">
          <a:avLst/>
        </a:prstGeom>
        <a:solidFill>
          <a:schemeClr val="bg1"/>
        </a:solidFill>
        <a:ln w="12700">
          <a:solidFill>
            <a:schemeClr val="accent2">
              <a:lumMod val="50000"/>
              <a:alpha val="80000"/>
            </a:schemeClr>
          </a:solidFill>
        </a:ln>
        <a:effectLst>
          <a:outerShdw blurRad="50800" dist="38100" dir="2700000" algn="tl" rotWithShape="0">
            <a:prstClr val="black">
              <a:alpha val="6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571501</xdr:colOff>
      <xdr:row>2</xdr:row>
      <xdr:rowOff>27215</xdr:rowOff>
    </xdr:from>
    <xdr:to>
      <xdr:col>20</xdr:col>
      <xdr:colOff>598715</xdr:colOff>
      <xdr:row>5</xdr:row>
      <xdr:rowOff>27214</xdr:rowOff>
    </xdr:to>
    <xdr:sp macro="" textlink="">
      <xdr:nvSpPr>
        <xdr:cNvPr id="4" name="TextBox 3"/>
        <xdr:cNvSpPr txBox="1"/>
      </xdr:nvSpPr>
      <xdr:spPr>
        <a:xfrm>
          <a:off x="1796144" y="408215"/>
          <a:ext cx="11049000" cy="57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solidFill>
                <a:schemeClr val="accent2">
                  <a:lumMod val="75000"/>
                </a:schemeClr>
              </a:solidFill>
              <a:latin typeface="Arial Rounded MT Bold" panose="020F0704030504030204" pitchFamily="34" charset="0"/>
              <a:ea typeface="Microsoft Himalaya" panose="01010100010101010101" pitchFamily="2" charset="0"/>
              <a:cs typeface="Microsoft Himalaya" panose="01010100010101010101" pitchFamily="2" charset="0"/>
            </a:rPr>
            <a:t>INDIA EXAM PAPER LEAK ANALYSIS (2014-2024)</a:t>
          </a:r>
        </a:p>
      </xdr:txBody>
    </xdr:sp>
    <xdr:clientData/>
  </xdr:twoCellAnchor>
  <xdr:twoCellAnchor>
    <xdr:from>
      <xdr:col>4</xdr:col>
      <xdr:colOff>217714</xdr:colOff>
      <xdr:row>10</xdr:row>
      <xdr:rowOff>108858</xdr:rowOff>
    </xdr:from>
    <xdr:to>
      <xdr:col>12</xdr:col>
      <xdr:colOff>13608</xdr:colOff>
      <xdr:row>20</xdr:row>
      <xdr:rowOff>136072</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122464</xdr:colOff>
      <xdr:row>10</xdr:row>
      <xdr:rowOff>95250</xdr:rowOff>
    </xdr:from>
    <xdr:to>
      <xdr:col>16</xdr:col>
      <xdr:colOff>401811</xdr:colOff>
      <xdr:row>32</xdr:row>
      <xdr:rowOff>122463</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244927</xdr:colOff>
      <xdr:row>21</xdr:row>
      <xdr:rowOff>122463</xdr:rowOff>
    </xdr:from>
    <xdr:to>
      <xdr:col>12</xdr:col>
      <xdr:colOff>27214</xdr:colOff>
      <xdr:row>32</xdr:row>
      <xdr:rowOff>136070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517070</xdr:colOff>
      <xdr:row>10</xdr:row>
      <xdr:rowOff>122463</xdr:rowOff>
    </xdr:from>
    <xdr:to>
      <xdr:col>20</xdr:col>
      <xdr:colOff>587784</xdr:colOff>
      <xdr:row>21</xdr:row>
      <xdr:rowOff>81642</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530679</xdr:colOff>
      <xdr:row>21</xdr:row>
      <xdr:rowOff>163284</xdr:rowOff>
    </xdr:from>
    <xdr:to>
      <xdr:col>20</xdr:col>
      <xdr:colOff>601393</xdr:colOff>
      <xdr:row>32</xdr:row>
      <xdr:rowOff>122463</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555172</xdr:colOff>
      <xdr:row>6</xdr:row>
      <xdr:rowOff>107499</xdr:rowOff>
    </xdr:from>
    <xdr:to>
      <xdr:col>3</xdr:col>
      <xdr:colOff>449036</xdr:colOff>
      <xdr:row>30</xdr:row>
      <xdr:rowOff>40823</xdr:rowOff>
    </xdr:to>
    <xdr:grpSp>
      <xdr:nvGrpSpPr>
        <xdr:cNvPr id="25" name="Group 24"/>
        <xdr:cNvGrpSpPr/>
      </xdr:nvGrpSpPr>
      <xdr:grpSpPr>
        <a:xfrm>
          <a:off x="555172" y="1250499"/>
          <a:ext cx="1730828" cy="4559753"/>
          <a:chOff x="555172" y="1250499"/>
          <a:chExt cx="1730828" cy="4559753"/>
        </a:xfrm>
      </xdr:grpSpPr>
      <mc:AlternateContent xmlns:mc="http://schemas.openxmlformats.org/markup-compatibility/2006" xmlns:a14="http://schemas.microsoft.com/office/drawing/2010/main">
        <mc:Choice Requires="a14">
          <xdr:graphicFrame macro="">
            <xdr:nvGraphicFramePr>
              <xdr:cNvPr id="18" name="Year"/>
              <xdr:cNvGraphicFramePr/>
            </xdr:nvGraphicFramePr>
            <xdr:xfrm>
              <a:off x="555172" y="1250499"/>
              <a:ext cx="1730828" cy="627289"/>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55172" y="1250499"/>
                <a:ext cx="1730828" cy="6272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9" name="Area(s) of Incident"/>
              <xdr:cNvGraphicFramePr/>
            </xdr:nvGraphicFramePr>
            <xdr:xfrm>
              <a:off x="555172" y="2039711"/>
              <a:ext cx="1717221" cy="2273754"/>
            </xdr:xfrm>
            <a:graphic>
              <a:graphicData uri="http://schemas.microsoft.com/office/drawing/2010/slicer">
                <sle:slicer xmlns:sle="http://schemas.microsoft.com/office/drawing/2010/slicer" name="Area(s) of Incident"/>
              </a:graphicData>
            </a:graphic>
          </xdr:graphicFrame>
        </mc:Choice>
        <mc:Fallback xmlns="">
          <xdr:sp macro="" textlink="">
            <xdr:nvSpPr>
              <xdr:cNvPr id="0" name=""/>
              <xdr:cNvSpPr>
                <a:spLocks noTextEdit="1"/>
              </xdr:cNvSpPr>
            </xdr:nvSpPr>
            <xdr:spPr>
              <a:xfrm>
                <a:off x="555172" y="2039711"/>
                <a:ext cx="1717221" cy="22737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0" name="Conducting Body Type"/>
              <xdr:cNvGraphicFramePr/>
            </xdr:nvGraphicFramePr>
            <xdr:xfrm>
              <a:off x="555172" y="4543427"/>
              <a:ext cx="1690008" cy="1266825"/>
            </xdr:xfrm>
            <a:graphic>
              <a:graphicData uri="http://schemas.microsoft.com/office/drawing/2010/slicer">
                <sle:slicer xmlns:sle="http://schemas.microsoft.com/office/drawing/2010/slicer" name="Conducting Body Type"/>
              </a:graphicData>
            </a:graphic>
          </xdr:graphicFrame>
        </mc:Choice>
        <mc:Fallback xmlns="">
          <xdr:sp macro="" textlink="">
            <xdr:nvSpPr>
              <xdr:cNvPr id="0" name=""/>
              <xdr:cNvSpPr>
                <a:spLocks noTextEdit="1"/>
              </xdr:cNvSpPr>
            </xdr:nvSpPr>
            <xdr:spPr>
              <a:xfrm>
                <a:off x="555172" y="4543427"/>
                <a:ext cx="1690008" cy="126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4</xdr:col>
      <xdr:colOff>462643</xdr:colOff>
      <xdr:row>5</xdr:row>
      <xdr:rowOff>187779</xdr:rowOff>
    </xdr:from>
    <xdr:to>
      <xdr:col>20</xdr:col>
      <xdr:colOff>21769</xdr:colOff>
      <xdr:row>9</xdr:row>
      <xdr:rowOff>180976</xdr:rowOff>
    </xdr:to>
    <xdr:grpSp>
      <xdr:nvGrpSpPr>
        <xdr:cNvPr id="31" name="Group 30"/>
        <xdr:cNvGrpSpPr/>
      </xdr:nvGrpSpPr>
      <xdr:grpSpPr>
        <a:xfrm>
          <a:off x="2911929" y="1140279"/>
          <a:ext cx="9356269" cy="809626"/>
          <a:chOff x="2653394" y="1085850"/>
          <a:chExt cx="9356269" cy="755197"/>
        </a:xfrm>
        <a:noFill/>
      </xdr:grpSpPr>
      <xdr:sp macro="" textlink="">
        <xdr:nvSpPr>
          <xdr:cNvPr id="23" name="Rounded Rectangle 22"/>
          <xdr:cNvSpPr/>
        </xdr:nvSpPr>
        <xdr:spPr>
          <a:xfrm>
            <a:off x="2653394" y="1092654"/>
            <a:ext cx="1945820" cy="748393"/>
          </a:xfrm>
          <a:prstGeom prst="roundRect">
            <a:avLst/>
          </a:prstGeom>
          <a:gradFill>
            <a:gsLst>
              <a:gs pos="4000">
                <a:schemeClr val="accent2">
                  <a:lumMod val="50000"/>
                </a:schemeClr>
              </a:gs>
              <a:gs pos="49000">
                <a:schemeClr val="accent2">
                  <a:lumMod val="50000"/>
                  <a:alpha val="85000"/>
                </a:schemeClr>
              </a:gs>
              <a:gs pos="96000">
                <a:schemeClr val="bg2">
                  <a:lumMod val="50000"/>
                  <a:alpha val="98000"/>
                </a:schemeClr>
              </a:gs>
            </a:gsLst>
            <a:lin ang="1800000" scaled="0"/>
          </a:gradFill>
          <a:ln w="6350">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400">
              <a:latin typeface="Bahnschrift" panose="020B0502040204020203" pitchFamily="34" charset="0"/>
            </a:endParaRPr>
          </a:p>
        </xdr:txBody>
      </xdr:sp>
      <xdr:sp macro="" textlink="">
        <xdr:nvSpPr>
          <xdr:cNvPr id="27" name="Rounded Rectangle 26"/>
          <xdr:cNvSpPr/>
        </xdr:nvSpPr>
        <xdr:spPr>
          <a:xfrm>
            <a:off x="5123544" y="1085850"/>
            <a:ext cx="1945820" cy="748393"/>
          </a:xfrm>
          <a:prstGeom prst="roundRect">
            <a:avLst/>
          </a:prstGeom>
          <a:solidFill>
            <a:schemeClr val="lt1"/>
          </a:solidFill>
          <a:ln w="6350">
            <a:solidFill>
              <a:schemeClr val="accent2">
                <a:lumMod val="50000"/>
                <a:alpha val="80000"/>
              </a:schemeClr>
            </a:solidFill>
          </a:ln>
          <a:effectLst>
            <a:outerShdw blurRad="50800" dist="50800" dir="5400000" algn="ctr" rotWithShape="0">
              <a:srgbClr val="000000">
                <a:alpha val="16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Rounded Rectangle 27"/>
          <xdr:cNvSpPr/>
        </xdr:nvSpPr>
        <xdr:spPr>
          <a:xfrm>
            <a:off x="7593693" y="1085850"/>
            <a:ext cx="1945820" cy="748393"/>
          </a:xfrm>
          <a:prstGeom prst="roundRect">
            <a:avLst/>
          </a:prstGeom>
          <a:solidFill>
            <a:schemeClr val="lt1"/>
          </a:solidFill>
          <a:ln w="6350">
            <a:solidFill>
              <a:schemeClr val="accent2">
                <a:lumMod val="50000"/>
                <a:alpha val="80000"/>
              </a:schemeClr>
            </a:solidFill>
          </a:ln>
          <a:effectLst>
            <a:outerShdw blurRad="50800" dist="50800" dir="5400000" algn="ctr" rotWithShape="0">
              <a:srgbClr val="000000">
                <a:alpha val="16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Rounded Rectangle 28"/>
          <xdr:cNvSpPr/>
        </xdr:nvSpPr>
        <xdr:spPr>
          <a:xfrm>
            <a:off x="10063843" y="1085850"/>
            <a:ext cx="1945820" cy="748393"/>
          </a:xfrm>
          <a:prstGeom prst="roundRect">
            <a:avLst/>
          </a:prstGeom>
          <a:solidFill>
            <a:schemeClr val="lt1"/>
          </a:solidFill>
          <a:ln w="6350">
            <a:solidFill>
              <a:schemeClr val="accent2">
                <a:lumMod val="50000"/>
                <a:alpha val="80000"/>
              </a:schemeClr>
            </a:solidFill>
          </a:ln>
          <a:effectLst>
            <a:outerShdw blurRad="50800" dist="50800" dir="5400000" algn="ctr" rotWithShape="0">
              <a:srgbClr val="000000">
                <a:alpha val="16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517073</xdr:colOff>
      <xdr:row>7</xdr:row>
      <xdr:rowOff>54428</xdr:rowOff>
    </xdr:from>
    <xdr:to>
      <xdr:col>7</xdr:col>
      <xdr:colOff>136072</xdr:colOff>
      <xdr:row>10</xdr:row>
      <xdr:rowOff>54428</xdr:rowOff>
    </xdr:to>
    <xdr:sp macro="" textlink="'SHEET DESIGN'!G3">
      <xdr:nvSpPr>
        <xdr:cNvPr id="5" name="TextBox 4"/>
        <xdr:cNvSpPr txBox="1"/>
      </xdr:nvSpPr>
      <xdr:spPr>
        <a:xfrm>
          <a:off x="3578680" y="1387928"/>
          <a:ext cx="843642"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E68D30-F636-4030-BBE6-C4E935BEE380}" type="TxLink">
            <a:rPr lang="en-US" sz="3200" b="1" i="0" u="none" strike="noStrike">
              <a:solidFill>
                <a:schemeClr val="bg1"/>
              </a:solidFill>
              <a:latin typeface="Calibri"/>
              <a:cs typeface="Calibri"/>
            </a:rPr>
            <a:pPr/>
            <a:t>66</a:t>
          </a:fld>
          <a:endParaRPr lang="en-IN" sz="3200" b="1">
            <a:solidFill>
              <a:schemeClr val="bg1"/>
            </a:solidFill>
          </a:endParaRPr>
        </a:p>
      </xdr:txBody>
    </xdr:sp>
    <xdr:clientData/>
  </xdr:twoCellAnchor>
  <xdr:twoCellAnchor>
    <xdr:from>
      <xdr:col>8</xdr:col>
      <xdr:colOff>449035</xdr:colOff>
      <xdr:row>6</xdr:row>
      <xdr:rowOff>13606</xdr:rowOff>
    </xdr:from>
    <xdr:to>
      <xdr:col>12</xdr:col>
      <xdr:colOff>163286</xdr:colOff>
      <xdr:row>7</xdr:row>
      <xdr:rowOff>122463</xdr:rowOff>
    </xdr:to>
    <xdr:sp macro="" textlink="">
      <xdr:nvSpPr>
        <xdr:cNvPr id="6" name="TextBox 5"/>
        <xdr:cNvSpPr txBox="1"/>
      </xdr:nvSpPr>
      <xdr:spPr>
        <a:xfrm>
          <a:off x="5347606" y="1156606"/>
          <a:ext cx="2163537" cy="353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accent2">
                  <a:lumMod val="50000"/>
                </a:schemeClr>
              </a:solidFill>
              <a:latin typeface="Bahnschrift" panose="020B0502040204020203" pitchFamily="34" charset="0"/>
            </a:rPr>
            <a:t>CONFIRMED RATE %</a:t>
          </a:r>
        </a:p>
      </xdr:txBody>
    </xdr:sp>
    <xdr:clientData/>
  </xdr:twoCellAnchor>
  <xdr:twoCellAnchor>
    <xdr:from>
      <xdr:col>9</xdr:col>
      <xdr:colOff>449037</xdr:colOff>
      <xdr:row>7</xdr:row>
      <xdr:rowOff>13605</xdr:rowOff>
    </xdr:from>
    <xdr:to>
      <xdr:col>11</xdr:col>
      <xdr:colOff>272144</xdr:colOff>
      <xdr:row>9</xdr:row>
      <xdr:rowOff>163285</xdr:rowOff>
    </xdr:to>
    <xdr:sp macro="" textlink="'SHEET DESIGN'!J3">
      <xdr:nvSpPr>
        <xdr:cNvPr id="7" name="TextBox 6"/>
        <xdr:cNvSpPr txBox="1"/>
      </xdr:nvSpPr>
      <xdr:spPr>
        <a:xfrm>
          <a:off x="5959930" y="1401534"/>
          <a:ext cx="1047750" cy="530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E56E17-0B0D-4F49-BBCA-86E823208E4D}" type="TxLink">
            <a:rPr lang="en-US" sz="3200" b="1" i="0" u="none" strike="noStrike">
              <a:solidFill>
                <a:srgbClr val="FF0000"/>
              </a:solidFill>
              <a:latin typeface="Calibri"/>
              <a:cs typeface="Calibri"/>
            </a:rPr>
            <a:pPr/>
            <a:t>73%</a:t>
          </a:fld>
          <a:endParaRPr lang="en-US" sz="3200" b="1">
            <a:solidFill>
              <a:srgbClr val="FF0000"/>
            </a:solidFill>
            <a:latin typeface="Bahnschrift" panose="020B0502040204020203" pitchFamily="34" charset="0"/>
          </a:endParaRPr>
        </a:p>
      </xdr:txBody>
    </xdr:sp>
    <xdr:clientData/>
  </xdr:twoCellAnchor>
  <xdr:twoCellAnchor>
    <xdr:from>
      <xdr:col>12</xdr:col>
      <xdr:colOff>544287</xdr:colOff>
      <xdr:row>6</xdr:row>
      <xdr:rowOff>40820</xdr:rowOff>
    </xdr:from>
    <xdr:to>
      <xdr:col>16</xdr:col>
      <xdr:colOff>231322</xdr:colOff>
      <xdr:row>8</xdr:row>
      <xdr:rowOff>40820</xdr:rowOff>
    </xdr:to>
    <xdr:sp macro="" textlink="">
      <xdr:nvSpPr>
        <xdr:cNvPr id="10" name="TextBox 9"/>
        <xdr:cNvSpPr txBox="1"/>
      </xdr:nvSpPr>
      <xdr:spPr>
        <a:xfrm>
          <a:off x="7892144" y="1183820"/>
          <a:ext cx="2136321" cy="435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IN" sz="1600">
              <a:solidFill>
                <a:schemeClr val="accent2">
                  <a:lumMod val="50000"/>
                </a:schemeClr>
              </a:solidFill>
              <a:effectLst/>
              <a:latin typeface="Bahnschrift" panose="020B0502040204020203" pitchFamily="34" charset="0"/>
              <a:ea typeface="+mn-ea"/>
              <a:cs typeface="+mn-cs"/>
            </a:rPr>
            <a:t>EXAM CANCELLED</a:t>
          </a:r>
          <a:endParaRPr lang="en-IN" sz="1600">
            <a:solidFill>
              <a:schemeClr val="accent2">
                <a:lumMod val="50000"/>
              </a:schemeClr>
            </a:solidFill>
            <a:effectLst/>
            <a:latin typeface="Bahnschrift" panose="020B0502040204020203" pitchFamily="34" charset="0"/>
          </a:endParaRPr>
        </a:p>
        <a:p>
          <a:endParaRPr lang="en-IN" sz="1100"/>
        </a:p>
      </xdr:txBody>
    </xdr:sp>
    <xdr:clientData/>
  </xdr:twoCellAnchor>
  <xdr:twoCellAnchor>
    <xdr:from>
      <xdr:col>13</xdr:col>
      <xdr:colOff>544286</xdr:colOff>
      <xdr:row>7</xdr:row>
      <xdr:rowOff>54430</xdr:rowOff>
    </xdr:from>
    <xdr:to>
      <xdr:col>15</xdr:col>
      <xdr:colOff>190500</xdr:colOff>
      <xdr:row>10</xdr:row>
      <xdr:rowOff>136072</xdr:rowOff>
    </xdr:to>
    <xdr:sp macro="" textlink="'SHEET DESIGN'!I3">
      <xdr:nvSpPr>
        <xdr:cNvPr id="16" name="TextBox 15"/>
        <xdr:cNvSpPr txBox="1"/>
      </xdr:nvSpPr>
      <xdr:spPr>
        <a:xfrm>
          <a:off x="8504465" y="1442359"/>
          <a:ext cx="870856" cy="653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B4E7C5-725C-42BE-887F-6BD9DE28723F}" type="TxLink">
            <a:rPr lang="en-US" sz="3200" b="1" i="0" u="none" strike="noStrike">
              <a:solidFill>
                <a:schemeClr val="accent2">
                  <a:lumMod val="50000"/>
                </a:schemeClr>
              </a:solidFill>
              <a:latin typeface="Calibri"/>
              <a:cs typeface="Calibri"/>
            </a:rPr>
            <a:pPr/>
            <a:t>30</a:t>
          </a:fld>
          <a:endParaRPr lang="en-US" sz="3200" b="1">
            <a:solidFill>
              <a:schemeClr val="accent2">
                <a:lumMod val="50000"/>
              </a:schemeClr>
            </a:solidFill>
          </a:endParaRPr>
        </a:p>
      </xdr:txBody>
    </xdr:sp>
    <xdr:clientData/>
  </xdr:twoCellAnchor>
  <xdr:twoCellAnchor>
    <xdr:from>
      <xdr:col>17</xdr:col>
      <xdr:colOff>0</xdr:colOff>
      <xdr:row>6</xdr:row>
      <xdr:rowOff>40820</xdr:rowOff>
    </xdr:from>
    <xdr:to>
      <xdr:col>20</xdr:col>
      <xdr:colOff>108858</xdr:colOff>
      <xdr:row>7</xdr:row>
      <xdr:rowOff>163285</xdr:rowOff>
    </xdr:to>
    <xdr:sp macro="" textlink="">
      <xdr:nvSpPr>
        <xdr:cNvPr id="17" name="TextBox 16"/>
        <xdr:cNvSpPr txBox="1"/>
      </xdr:nvSpPr>
      <xdr:spPr>
        <a:xfrm>
          <a:off x="10409464" y="1183820"/>
          <a:ext cx="1945823" cy="367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accent2">
                  <a:lumMod val="50000"/>
                </a:schemeClr>
              </a:solidFill>
              <a:latin typeface="Bahnschrift" panose="020B0502040204020203" pitchFamily="34" charset="0"/>
            </a:rPr>
            <a:t>INCIDENTS</a:t>
          </a:r>
          <a:r>
            <a:rPr lang="en-IN" sz="1600" baseline="0">
              <a:solidFill>
                <a:schemeClr val="accent2">
                  <a:lumMod val="50000"/>
                </a:schemeClr>
              </a:solidFill>
              <a:latin typeface="Bahnschrift" panose="020B0502040204020203" pitchFamily="34" charset="0"/>
            </a:rPr>
            <a:t> (2024)</a:t>
          </a:r>
          <a:endParaRPr lang="en-IN" sz="1600">
            <a:solidFill>
              <a:schemeClr val="accent2">
                <a:lumMod val="50000"/>
              </a:schemeClr>
            </a:solidFill>
            <a:latin typeface="Bahnschrift" panose="020B0502040204020203" pitchFamily="34" charset="0"/>
          </a:endParaRPr>
        </a:p>
      </xdr:txBody>
    </xdr:sp>
    <xdr:clientData/>
  </xdr:twoCellAnchor>
  <xdr:twoCellAnchor>
    <xdr:from>
      <xdr:col>17</xdr:col>
      <xdr:colOff>571499</xdr:colOff>
      <xdr:row>7</xdr:row>
      <xdr:rowOff>40820</xdr:rowOff>
    </xdr:from>
    <xdr:to>
      <xdr:col>19</xdr:col>
      <xdr:colOff>394607</xdr:colOff>
      <xdr:row>10</xdr:row>
      <xdr:rowOff>13607</xdr:rowOff>
    </xdr:to>
    <xdr:sp macro="" textlink="'SHEET DESIGN'!L3">
      <xdr:nvSpPr>
        <xdr:cNvPr id="21" name="TextBox 20"/>
        <xdr:cNvSpPr txBox="1"/>
      </xdr:nvSpPr>
      <xdr:spPr>
        <a:xfrm>
          <a:off x="10980963" y="1428749"/>
          <a:ext cx="1047751" cy="544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14828B-A7E3-4431-8380-06E53B49F9C3}" type="TxLink">
            <a:rPr lang="en-US" sz="3200" b="1" i="0" u="none" strike="noStrike">
              <a:solidFill>
                <a:schemeClr val="accent2">
                  <a:lumMod val="50000"/>
                </a:schemeClr>
              </a:solidFill>
              <a:latin typeface="Calibri"/>
              <a:cs typeface="Calibri"/>
            </a:rPr>
            <a:pPr/>
            <a:t>13</a:t>
          </a:fld>
          <a:endParaRPr lang="en-IN" sz="3200" b="1">
            <a:solidFill>
              <a:schemeClr val="accent2">
                <a:lumMod val="50000"/>
              </a:schemeClr>
            </a:solidFill>
          </a:endParaRPr>
        </a:p>
      </xdr:txBody>
    </xdr:sp>
    <xdr:clientData/>
  </xdr:twoCellAnchor>
  <xdr:twoCellAnchor>
    <xdr:from>
      <xdr:col>4</xdr:col>
      <xdr:colOff>557893</xdr:colOff>
      <xdr:row>6</xdr:row>
      <xdr:rowOff>40821</xdr:rowOff>
    </xdr:from>
    <xdr:to>
      <xdr:col>8</xdr:col>
      <xdr:colOff>13608</xdr:colOff>
      <xdr:row>7</xdr:row>
      <xdr:rowOff>149678</xdr:rowOff>
    </xdr:to>
    <xdr:sp macro="" textlink="">
      <xdr:nvSpPr>
        <xdr:cNvPr id="24" name="TextBox 23"/>
        <xdr:cNvSpPr txBox="1"/>
      </xdr:nvSpPr>
      <xdr:spPr>
        <a:xfrm>
          <a:off x="3007179" y="1183821"/>
          <a:ext cx="1905000" cy="353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bg1"/>
              </a:solidFill>
              <a:latin typeface="Bahnschrift" panose="020B0502040204020203" pitchFamily="34" charset="0"/>
            </a:rPr>
            <a:t>TOTAL</a:t>
          </a:r>
          <a:r>
            <a:rPr lang="en-IN" sz="1600" baseline="0">
              <a:solidFill>
                <a:schemeClr val="bg1"/>
              </a:solidFill>
              <a:latin typeface="Bahnschrift" panose="020B0502040204020203" pitchFamily="34" charset="0"/>
            </a:rPr>
            <a:t> </a:t>
          </a:r>
          <a:r>
            <a:rPr lang="en-IN" sz="1600">
              <a:solidFill>
                <a:schemeClr val="bg1"/>
              </a:solidFill>
              <a:latin typeface="Bahnschrift" panose="020B0502040204020203" pitchFamily="34" charset="0"/>
            </a:rPr>
            <a:t>INCIDENTS</a:t>
          </a:r>
        </a:p>
      </xdr:txBody>
    </xdr:sp>
    <xdr:clientData/>
  </xdr:twoCellAnchor>
  <xdr:twoCellAnchor editAs="oneCell">
    <xdr:from>
      <xdr:col>2</xdr:col>
      <xdr:colOff>435431</xdr:colOff>
      <xdr:row>31</xdr:row>
      <xdr:rowOff>0</xdr:rowOff>
    </xdr:from>
    <xdr:to>
      <xdr:col>3</xdr:col>
      <xdr:colOff>183110</xdr:colOff>
      <xdr:row>32</xdr:row>
      <xdr:rowOff>169500</xdr:rowOff>
    </xdr:to>
    <xdr:pic>
      <xdr:nvPicPr>
        <xdr:cNvPr id="33" name="Picture 32">
          <a:hlinkClick xmlns:r="http://schemas.openxmlformats.org/officeDocument/2006/relationships" r:id="rId7"/>
        </xdr:cNvPr>
        <xdr:cNvPicPr>
          <a:picLocks noChangeAspect="1"/>
        </xdr:cNvPicPr>
      </xdr:nvPicPr>
      <xdr:blipFill>
        <a:blip xmlns:r="http://schemas.openxmlformats.org/officeDocument/2006/relationships" r:embed="rId8"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flipH="1">
          <a:off x="1660074" y="5959929"/>
          <a:ext cx="360000" cy="360000"/>
        </a:xfrm>
        <a:prstGeom prst="rect">
          <a:avLst/>
        </a:prstGeom>
      </xdr:spPr>
    </xdr:pic>
    <xdr:clientData/>
  </xdr:twoCellAnchor>
  <xdr:twoCellAnchor editAs="oneCell">
    <xdr:from>
      <xdr:col>1</xdr:col>
      <xdr:colOff>217714</xdr:colOff>
      <xdr:row>31</xdr:row>
      <xdr:rowOff>0</xdr:rowOff>
    </xdr:from>
    <xdr:to>
      <xdr:col>1</xdr:col>
      <xdr:colOff>577714</xdr:colOff>
      <xdr:row>32</xdr:row>
      <xdr:rowOff>169500</xdr:rowOff>
    </xdr:to>
    <xdr:pic>
      <xdr:nvPicPr>
        <xdr:cNvPr id="34" name="Picture 33">
          <a:hlinkClick xmlns:r="http://schemas.openxmlformats.org/officeDocument/2006/relationships" r:id="rId9"/>
        </xdr:cNvPr>
        <xdr:cNvPicPr>
          <a:picLocks noChangeAspect="1"/>
        </xdr:cNvPicPr>
      </xdr:nvPicPr>
      <xdr:blipFill>
        <a:blip xmlns:r="http://schemas.openxmlformats.org/officeDocument/2006/relationships" r:embed="rId10"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830035" y="5959929"/>
          <a:ext cx="360000" cy="360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C" refreshedDate="46229.69078553241" createdVersion="5" refreshedVersion="5" minRefreshableVersion="3" recordCount="66">
  <cacheSource type="worksheet">
    <worksheetSource name="Table1"/>
  </cacheSource>
  <cacheFields count="14">
    <cacheField name="Date of Exam/Incident" numFmtId="0">
      <sharedItems/>
    </cacheField>
    <cacheField name="Exam Name" numFmtId="0">
      <sharedItems/>
    </cacheField>
    <cacheField name="Conducting Body" numFmtId="0">
      <sharedItems/>
    </cacheField>
    <cacheField name="Conducting Body Type" numFmtId="0">
      <sharedItems count="3">
        <s v="State"/>
        <s v="Central"/>
        <s v="Private"/>
      </sharedItems>
    </cacheField>
    <cacheField name="Area(s) of Incident" numFmtId="0">
      <sharedItems count="25">
        <s v="Tamilnadu"/>
        <s v="Pondicherry"/>
        <s v="Kerala"/>
        <s v="Punjab"/>
        <s v="Multiple States"/>
        <s v="Tripura"/>
        <s v="Madhya Pradesh"/>
        <s v="Bihar"/>
        <s v="Jharkhand"/>
        <s v="Uttar Pradesh"/>
        <s v="Assam"/>
        <s v="Gujrat"/>
        <s v="West Bengal"/>
        <s v="Maharasthra"/>
        <s v="Odisha"/>
        <s v="Telangana"/>
        <s v="Rajasthan"/>
        <s v="Himachal Pradesh"/>
        <s v="Arunachal Pradesh"/>
        <s v="Jammu"/>
        <s v="Uttarakhand"/>
        <s v="Karnataka"/>
        <s v="Delhi"/>
        <s v="Haryana"/>
        <s v="All India" u="1"/>
      </sharedItems>
    </cacheField>
    <cacheField name="Leak Confirmation Status" numFmtId="0">
      <sharedItems count="2">
        <s v="accused"/>
        <s v="confirmed"/>
      </sharedItems>
    </cacheField>
    <cacheField name="Action taken" numFmtId="0">
      <sharedItems count="13">
        <s v="Alternative Question Paper Used"/>
        <s v="Exam Cancelled"/>
        <s v="Legal action taken and claim dismissed"/>
        <s v="Unknown"/>
        <s v="No Rexam"/>
        <s v="Legal action taken"/>
        <s v="Chargesheet"/>
        <s v="Reports Denied"/>
        <s v="Claim dissmissed"/>
        <s v="dismissed claim"/>
        <s v="No action taken"/>
        <s v="Suspension"/>
        <s v="Exam Cancelled on many centers"/>
      </sharedItems>
    </cacheField>
    <cacheField name="Note about action Taken" numFmtId="0">
      <sharedItems/>
    </cacheField>
    <cacheField name="Note about incident" numFmtId="0">
      <sharedItems/>
    </cacheField>
    <cacheField name="References " numFmtId="0">
      <sharedItems/>
    </cacheField>
    <cacheField name="Year" numFmtId="0">
      <sharedItems containsSemiMixedTypes="0" containsString="0" containsNumber="1" containsInteger="1" minValue="2014" maxValue="2024" count="11">
        <n v="2024"/>
        <n v="2023"/>
        <n v="2022"/>
        <n v="2021"/>
        <n v="2020"/>
        <n v="2019"/>
        <n v="2018"/>
        <n v="2017"/>
        <n v="2016"/>
        <n v="2015"/>
        <n v="2014"/>
      </sharedItems>
    </cacheField>
    <cacheField name="Month" numFmtId="0">
      <sharedItems/>
    </cacheField>
    <cacheField name="Month_No" numFmtId="0">
      <sharedItems containsSemiMixedTypes="0" containsString="0" containsNumber="1" containsInteger="1" minValue="2" maxValue="12"/>
    </cacheField>
    <cacheField name="Quarter" numFmtId="0">
      <sharedItems containsSemiMixedTypes="0" containsString="0" containsNumber="1" containsInteger="1" minValue="1" maxValue="4"/>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6">
  <r>
    <s v="2024-08-26"/>
    <s v="B.Ed. 4th Sem Exam : Creating an Inclusive School"/>
    <s v="Tamil Nadu Teachers Education University"/>
    <x v="0"/>
    <x v="0"/>
    <x v="0"/>
    <x v="0"/>
    <s v="Alternative Question Paper Used"/>
    <s v="Paper leaked on social media before exam"/>
    <s v="TNTEU registrar relieved after reports of B.Ed exam paper leak (dtnext.in)"/>
    <x v="0"/>
    <s v="August"/>
    <n v="8"/>
    <n v="3"/>
  </r>
  <r>
    <s v="2024-08-04"/>
    <s v="MBA 1st year Exam"/>
    <s v="Pondicherry University"/>
    <x v="1"/>
    <x v="1"/>
    <x v="1"/>
    <x v="1"/>
    <s v="Legal action against exam mafia"/>
    <s v="Paper leaked on social media before exam"/>
    <s v="Pondicherry University First-year MBBS Exam Paper Leaked, Test Postponed - News18"/>
    <x v="0"/>
    <s v="August"/>
    <n v="8"/>
    <n v="3"/>
  </r>
  <r>
    <s v="2024-07-06"/>
    <s v="Foreign Medical Graduate Examination"/>
    <s v="National Board of Examinations in Medical Sciences (NBEMS)"/>
    <x v="1"/>
    <x v="2"/>
    <x v="0"/>
    <x v="2"/>
    <s v="No Rexam and checking of evidence, claim dismissed"/>
    <s v="Paper leaked on social media"/>
    <s v="‘So far no evidence’: Kerala Police on FMGE ‘paper leak’ | Thiruvananthapuram News - The Indian Express"/>
    <x v="0"/>
    <s v="July"/>
    <n v="7"/>
    <n v="3"/>
  </r>
  <r>
    <s v="2024-06-30"/>
    <s v="Agriculture Development Officers"/>
    <s v="Punjab Public Service Comission"/>
    <x v="0"/>
    <x v="3"/>
    <x v="0"/>
    <x v="3"/>
    <s v="No Rexam"/>
    <s v="Claim: Offical demanded bribe for leaking paper"/>
    <s v="Now, ADO recruitment exam in Punjab under paper leak cloud; Opposition tears into state govt (indianexpress.com)"/>
    <x v="0"/>
    <s v="June"/>
    <n v="6"/>
    <n v="2"/>
  </r>
  <r>
    <s v="2024-06-18"/>
    <s v="UGC NET 2024"/>
    <s v="National Testing Agency"/>
    <x v="1"/>
    <x v="4"/>
    <x v="0"/>
    <x v="4"/>
    <s v="Exam cancellation decision overruled by Supreme Court"/>
    <s v="accusation of paper leak"/>
    <s v="Supreme Court upholds decision to cancel UGC NET 2024 exam, allows re-examination on August 21 | Mint (livemint.com)"/>
    <x v="0"/>
    <s v="June"/>
    <n v="6"/>
    <n v="2"/>
  </r>
  <r>
    <s v="2024-06-09"/>
    <s v="ADC Recruitment Exam"/>
    <s v="Tripura Tribal Areas Autonomous District Council"/>
    <x v="0"/>
    <x v="5"/>
    <x v="1"/>
    <x v="5"/>
    <s v="No Re-exam"/>
    <s v="Answer Key leaked before exam"/>
    <s v="adc exam’s answer key leaked one arrested | tripuratimes"/>
    <x v="0"/>
    <s v="June"/>
    <n v="6"/>
    <n v="2"/>
  </r>
  <r>
    <s v="2024-05-28"/>
    <s v="MBA Semster Exam"/>
    <s v="Devi Ahilya Vishwavidyalaya's (DAVV)"/>
    <x v="0"/>
    <x v="6"/>
    <x v="1"/>
    <x v="1"/>
    <s v="Legal action taken against involved people"/>
    <s v="Paper leaked on social media before exam"/>
    <s v="Indore: Question Papers Of Two Subjects Of MBA In DAVV Leaked 15 Hours Before Exam: Both Exams Cancelled (freepressjournal.in)"/>
    <x v="0"/>
    <s v="May"/>
    <n v="5"/>
    <n v="2"/>
  </r>
  <r>
    <s v="2024-04-28"/>
    <s v="VIT Engineering Exam"/>
    <s v="VIT"/>
    <x v="2"/>
    <x v="4"/>
    <x v="1"/>
    <x v="6"/>
    <s v="Legal action against exam mafia"/>
    <s v="Leaking of question paper via remote access at a exam center"/>
    <s v="Engineering entrance exam: STF arrests 2 for VIT question paper leak - Hindustan Times"/>
    <x v="0"/>
    <s v="April"/>
    <n v="4"/>
    <n v="2"/>
  </r>
  <r>
    <s v="2024-04-16"/>
    <s v="Teacher Recruitment Exam"/>
    <s v="Bihar Public service Comission"/>
    <x v="0"/>
    <x v="7"/>
    <x v="1"/>
    <x v="1"/>
    <s v="Legal action against exam mafia"/>
    <s v="Paper leaked on social media"/>
    <s v="TRE 3.0 Paper Leak: Tre 3.0 Paper Leak Case: Five Key Accused Produced In Court | Patna News - Times of India (indiatimes.com)"/>
    <x v="0"/>
    <s v="April"/>
    <n v="4"/>
    <n v="2"/>
  </r>
  <r>
    <s v="2024-03-17"/>
    <s v="Civil Services Prelims"/>
    <s v="Jharkhand Public Service Commission"/>
    <x v="0"/>
    <x v="8"/>
    <x v="0"/>
    <x v="7"/>
    <s v="dissmised as fake news"/>
    <s v="Video calimed that seal of question papers found broken"/>
    <s v="JPSC Conducts Civil Services Prelims: JPSC Conducts Civil Services Prelims Amid Paper Leak Controversy | Ranchi News - Times of India (indiatimes.com)"/>
    <x v="0"/>
    <s v="March"/>
    <n v="3"/>
    <n v="1"/>
  </r>
  <r>
    <s v="2024-02-17"/>
    <s v="Constable Exam"/>
    <s v="Uttar Pradesh Police Recruitment and Promotion Board"/>
    <x v="0"/>
    <x v="9"/>
    <x v="1"/>
    <x v="1"/>
    <s v="Legal action against exam mafia"/>
    <s v="Paper leaked on social media"/>
    <s v="Main accused in UP constable exam paper leak arrested: STF | Lucknow News - The Indian Express"/>
    <x v="0"/>
    <s v="February"/>
    <n v="2"/>
    <n v="1"/>
  </r>
  <r>
    <s v="2024-02-16"/>
    <s v="High School English Exam"/>
    <s v="Assam Board of Secondary Education"/>
    <x v="0"/>
    <x v="10"/>
    <x v="0"/>
    <x v="8"/>
    <s v="dissmised as fake news"/>
    <s v="claim : question paper leaked from one center"/>
    <s v="Assam Education Minister Ranoj Pegu Dismisses HSLC Question Paper Leak Claims - News18"/>
    <x v="0"/>
    <s v="February"/>
    <n v="2"/>
    <n v="1"/>
  </r>
  <r>
    <s v="2024-02-11"/>
    <s v="Review Officer/Assistant Review Officer"/>
    <s v="Uttar Pradesh Public Service Comission"/>
    <x v="0"/>
    <x v="9"/>
    <x v="1"/>
    <x v="1"/>
    <s v="Legal action against exam mafia"/>
    <s v="Paper leaked on social media"/>
    <s v="Four more arrested in RO/ARO exam paper leak; Mastermind still elusive | Lucknow News - Times of India (indiatimes.com)"/>
    <x v="0"/>
    <s v="February"/>
    <n v="2"/>
    <n v="1"/>
  </r>
  <r>
    <s v="2023-12-26"/>
    <s v="B.Tech CS Question Paper 5th Sem"/>
    <s v="Parul University"/>
    <x v="2"/>
    <x v="11"/>
    <x v="1"/>
    <x v="1"/>
    <s v="Legal action taken against involved people"/>
    <s v="Selling of question papers"/>
    <s v="Leaking Exam Papers: Leaking BTech Exam Papers of Parul University Vadodara - Two Arrested | Vadodara News - Times of India (indiatimes.com)"/>
    <x v="1"/>
    <s v="December"/>
    <n v="12"/>
    <n v="4"/>
  </r>
  <r>
    <s v="2023-12-25"/>
    <s v="Teacher Eligibility Test"/>
    <s v="West Bengal Board of Primary Education"/>
    <x v="0"/>
    <x v="12"/>
    <x v="0"/>
    <x v="9"/>
    <s v="Fake news suggested"/>
    <s v="Claim : paper leak"/>
    <s v="TET Paper Leak: Govt seeks report after TET paper leak on social media | Kolkata News - Times of India (indiatimes.com)"/>
    <x v="1"/>
    <s v="December"/>
    <n v="12"/>
    <n v="4"/>
  </r>
  <r>
    <s v="2023-12-24"/>
    <s v="Class 10 Bengali pre-board examination"/>
    <s v="Tripura Board of Secondary Education (TBSE)"/>
    <x v="0"/>
    <x v="5"/>
    <x v="1"/>
    <x v="10"/>
    <s v="No Re-exam"/>
    <s v="Paper leaked on social media before exam"/>
    <s v="Pre-board exam ‘paper leak’ in Tripura: AIDSO seeks stern action against culprits | North East India News - The Indian Express"/>
    <x v="1"/>
    <s v="December"/>
    <n v="12"/>
    <n v="4"/>
  </r>
  <r>
    <s v="2023-12-22"/>
    <s v="MBA first term exam"/>
    <s v="Savitribai Phule Pune University"/>
    <x v="0"/>
    <x v="13"/>
    <x v="1"/>
    <x v="1"/>
    <s v="Legal action taken against involved people"/>
    <s v="Paper leaked on social media"/>
    <s v="Pune: MBA exam paper leaked on WhatsApp, case registered | Pune News - The Indian Express"/>
    <x v="1"/>
    <s v="December"/>
    <n v="12"/>
    <n v="4"/>
  </r>
  <r>
    <s v="2023-10-01"/>
    <s v="Constable Exam"/>
    <s v="Central Selection Board of Constables, Bihar"/>
    <x v="0"/>
    <x v="7"/>
    <x v="1"/>
    <x v="1"/>
    <s v="Legal action and other exams postponed"/>
    <s v="Paper leaked on social media"/>
    <s v="SIT formed to probe into constable recruitment exam paper leak case in Bihar (newindianexpress.com)"/>
    <x v="1"/>
    <s v="October"/>
    <n v="10"/>
    <n v="4"/>
  </r>
  <r>
    <s v="2023-09-19"/>
    <s v="Occupational English Test"/>
    <s v="Private Center"/>
    <x v="2"/>
    <x v="2"/>
    <x v="1"/>
    <x v="5"/>
    <s v="No Re-exam"/>
    <s v="Selling of question papers"/>
    <s v="Thrissur police nab 8 Kottayam natives behind OET question paper leak | Manorama English (onmanorama.com)"/>
    <x v="1"/>
    <s v="September"/>
    <n v="9"/>
    <n v="3"/>
  </r>
  <r>
    <s v="2023-07-20"/>
    <s v="BBA Exam"/>
    <s v="Barkatullah University"/>
    <x v="0"/>
    <x v="6"/>
    <x v="0"/>
    <x v="5"/>
    <s v="Booked involved students"/>
    <s v="Question paper  found on the phones"/>
    <s v="4 students booked in BU's BBA 'paper leak' case | Bhopal News - Times of India (indiatimes.com)"/>
    <x v="1"/>
    <s v="July"/>
    <n v="7"/>
    <n v="3"/>
  </r>
  <r>
    <s v="2023-07-16"/>
    <s v="Junior Engineer"/>
    <s v="Odisha Staff Selection Commission"/>
    <x v="0"/>
    <x v="14"/>
    <x v="0"/>
    <x v="1"/>
    <s v="Legal action taken against involved people"/>
    <s v="Paper leaked on social media"/>
    <s v="BJP, Congress attack Odisha government over OSSC recruitment paper leak | Latest News India - Hindustan Times"/>
    <x v="1"/>
    <s v="July"/>
    <n v="7"/>
    <n v="3"/>
  </r>
  <r>
    <s v="2023-06-03"/>
    <s v="Nursing Officer Recruitment Common Eligibility Test (NORCET-4)"/>
    <s v="AIIMS"/>
    <x v="1"/>
    <x v="4"/>
    <x v="0"/>
    <x v="5"/>
    <s v="No Re-exam"/>
    <s v="Question paper  found on the phones"/>
    <s v="Students allege leak of AIIMS nursing officer exam paper | Delhi News - The Indian Express"/>
    <x v="1"/>
    <s v="June"/>
    <n v="6"/>
    <n v="2"/>
  </r>
  <r>
    <s v="2023-05-18"/>
    <s v="Class 12th English Exam"/>
    <s v="Punjab School Education Board"/>
    <x v="0"/>
    <x v="3"/>
    <x v="1"/>
    <x v="1"/>
    <s v="Redsitributed leaked paper 2nd time, So, again re-exam for 185 students"/>
    <s v="Paper leaked on social media"/>
    <s v="Punjab School Education Board exam: Leaked question papers distributed again, Class 12 students to take exam a 3rd time | Chandigarh News - The Indian Express"/>
    <x v="1"/>
    <s v="May"/>
    <n v="5"/>
    <n v="2"/>
  </r>
  <r>
    <s v="2023-04-03"/>
    <s v="High School Hindi &amp; Telgu"/>
    <s v="Telangana Board of intermediate Education"/>
    <x v="0"/>
    <x v="15"/>
    <x v="1"/>
    <x v="11"/>
    <s v="Suspension of officials"/>
    <s v="Paper leaked on Whatsapp at a school"/>
    <s v="Class 10 question paper leaked in Telangana, 3 officials suspended - India Today"/>
    <x v="1"/>
    <s v="April"/>
    <n v="4"/>
    <n v="2"/>
  </r>
  <r>
    <s v="2023-03-18"/>
    <s v="Class 12th Exam"/>
    <s v="Madhya Pradesh Board of Secondary Education"/>
    <x v="0"/>
    <x v="6"/>
    <x v="0"/>
    <x v="9"/>
    <s v="Fake news suggested"/>
    <s v="Claim : question paper leaked  on social media"/>
    <s v="Police arrests 4 accused in Madhya Pradesh Board Class 10 and 12 question paper leak case - CNBC TV18"/>
    <x v="1"/>
    <s v="March"/>
    <n v="3"/>
    <n v="1"/>
  </r>
  <r>
    <s v="2023-03-06"/>
    <s v="High School Mathematics Exam"/>
    <s v="Assam Board of Secondary Education"/>
    <x v="0"/>
    <x v="10"/>
    <x v="1"/>
    <x v="1"/>
    <s v="Exam Cancelled in exam centers where irregularties reported"/>
    <s v="irregularties reported at some exam centers"/>
    <s v="Assam HSLC exam cancelled after question paper leak; CM summons SEBA secretary - Hindustan Times"/>
    <x v="1"/>
    <s v="March"/>
    <n v="3"/>
    <n v="1"/>
  </r>
  <r>
    <s v="2023-03-05"/>
    <s v="Assitant Civil Engineer"/>
    <s v="Telangana State Public Service Commission"/>
    <x v="0"/>
    <x v="15"/>
    <x v="1"/>
    <x v="1"/>
    <s v="Legal action taken against involved people"/>
    <s v="Paper leaked on social media"/>
    <s v="Telangana State Public Service Commission cancels civil exam over paper 'leak' - India Today"/>
    <x v="1"/>
    <s v="March"/>
    <n v="3"/>
    <n v="1"/>
  </r>
  <r>
    <s v="2023-03-03"/>
    <s v="Mathematics Exam"/>
    <s v="Maharashtra State Board of Secondary and Higher Secondary Education"/>
    <x v="0"/>
    <x v="13"/>
    <x v="1"/>
    <x v="5"/>
    <s v="Legal action against involved students, but no re-exam"/>
    <s v="Question paper viral on social media"/>
    <s v="Now HSC Maths paper leaked in Buldhana 30 minutes before scheduled time - Hindustan Times"/>
    <x v="1"/>
    <s v="March"/>
    <n v="3"/>
    <n v="1"/>
  </r>
  <r>
    <s v="2022-12-21"/>
    <s v="Class 2nd Teacher Recruitment : GK Question Paper"/>
    <s v="Rajasthan Public Service Commission"/>
    <x v="0"/>
    <x v="16"/>
    <x v="1"/>
    <x v="1"/>
    <s v="Legal action taken against involved people"/>
    <s v="Paper leaked on social media"/>
    <s v="Rajasthan 2nd grade teacher recruitment exam paper leaked; 44 held - The Hindu"/>
    <x v="2"/>
    <s v="December"/>
    <n v="12"/>
    <n v="4"/>
  </r>
  <r>
    <s v="2022-10-16"/>
    <s v="Group 1 Prelims"/>
    <s v="Telangana State Public Service Commission"/>
    <x v="0"/>
    <x v="15"/>
    <x v="1"/>
    <x v="5"/>
    <s v="No Re-exam"/>
    <s v="Paper leaked on social media"/>
    <s v="Group I prelims exam paper leaked to 20 persons: Police | Group I prelims exam paper leaked to 20 persons: Police (deccanchronicle.com)"/>
    <x v="2"/>
    <s v="October"/>
    <n v="10"/>
    <n v="4"/>
  </r>
  <r>
    <s v="2022-09-28"/>
    <s v="Diploma in Elementary Education"/>
    <s v="West Bengal Board of Primary Education"/>
    <x v="0"/>
    <x v="12"/>
    <x v="0"/>
    <x v="5"/>
    <s v="No Rexam"/>
    <s v="Paper leaked on social media"/>
    <s v="West Bengal: D.El.Ed paper leaks an hour before exam | Kolkata News - Times of India (indiatimes.com)"/>
    <x v="2"/>
    <s v="September"/>
    <n v="9"/>
    <n v="3"/>
  </r>
  <r>
    <s v="2022-09-12"/>
    <s v="Forest Guard Recruitment"/>
    <s v="Rajasthan Staff Selection Board"/>
    <x v="0"/>
    <x v="16"/>
    <x v="0"/>
    <x v="5"/>
    <s v="No Rexam"/>
    <s v="Some candiates accessing paper before the exam"/>
    <s v="Forest guard exam 2022 paper was leaked: Rajasthan police | Jaipur News - Times of India (indiatimes.com)"/>
    <x v="2"/>
    <s v="September"/>
    <n v="9"/>
    <n v="3"/>
  </r>
  <r>
    <s v="2022-09-10"/>
    <s v="JE"/>
    <s v="Himachal Pradesh Staff Selection Commission"/>
    <x v="0"/>
    <x v="17"/>
    <x v="1"/>
    <x v="1"/>
    <s v="Legal action taken against involved people"/>
    <s v="Paper leaked on social media"/>
    <s v="HPSSC paper leak case: Vigilance bureau SIT files fresh FIR against four persons - Hindustan Times"/>
    <x v="2"/>
    <s v="September"/>
    <n v="9"/>
    <n v="3"/>
  </r>
  <r>
    <s v="2022-08-26"/>
    <s v="Assistant Civil Engineer"/>
    <s v="Arunachal Pradesh Public Service Commission"/>
    <x v="0"/>
    <x v="18"/>
    <x v="1"/>
    <x v="1"/>
    <s v="Legal action"/>
    <s v="Paper leaked on social media"/>
    <s v="Arunachal paper leak scam: APPSC cancels AE (Civil) recruitment exam (arunachal24.in)"/>
    <x v="2"/>
    <s v="August"/>
    <n v="8"/>
    <n v="3"/>
  </r>
  <r>
    <s v="2022-07-31"/>
    <s v="Lekhpal Exam"/>
    <s v="The Uttar Pradesh Subordinate Services Selection Commission"/>
    <x v="0"/>
    <x v="9"/>
    <x v="0"/>
    <x v="5"/>
    <s v="Legal action against solvers, but no re-exam"/>
    <s v="Proxy candidates as solvers"/>
    <s v="UP Lekhpal exam: 'Solvers', candidates among 21 arrested; Akhilesh alleges paper 'leak' – ThePrint – PTIFeed"/>
    <x v="2"/>
    <s v="July"/>
    <n v="7"/>
    <n v="3"/>
  </r>
  <r>
    <s v="2022-05-08"/>
    <s v="BPSC 67th Exam"/>
    <s v="Bihar Public service Comission"/>
    <x v="0"/>
    <x v="7"/>
    <x v="1"/>
    <x v="1"/>
    <s v="Legal action"/>
    <s v="Paper leaked on social media"/>
    <s v="BPSC: BPSC 67th Paper Leak 2022, Probe Ordered by Bihar Public Service Commission | - Times of India (indiatimes.com)"/>
    <x v="2"/>
    <s v="May"/>
    <n v="5"/>
    <n v="2"/>
  </r>
  <r>
    <s v="2022-03-30"/>
    <s v="Class 12th English"/>
    <s v="Uttar Pradesh State Board of High School and Intermediate Education"/>
    <x v="0"/>
    <x v="9"/>
    <x v="1"/>
    <x v="1"/>
    <s v="Exam Cancelled in 24 districts"/>
    <s v="Paper leaked on social media 5 hours before the exam"/>
    <s v="UP Board Class 12 English paper leak case: 7 more arrested, total 24 held so far | Latest News India - Hindustan Times"/>
    <x v="2"/>
    <s v="March"/>
    <n v="3"/>
    <n v="1"/>
  </r>
  <r>
    <s v="2022-03-27"/>
    <s v="sub-inspector recruitment examination"/>
    <s v="Jammu and Kashmir Services Selection Board"/>
    <x v="0"/>
    <x v="19"/>
    <x v="1"/>
    <x v="1"/>
    <s v="Legal action against exam mafia"/>
    <s v="Paper leaked on social media"/>
    <s v="ED arrests Haryana man in J&amp;K paper leak case | India News - Times of India (indiatimes.com)"/>
    <x v="2"/>
    <s v="March"/>
    <n v="3"/>
    <n v="1"/>
  </r>
  <r>
    <s v="2022-02-17"/>
    <s v="High School Mathematics Exam"/>
    <s v="Bihar School Examination Board"/>
    <x v="0"/>
    <x v="7"/>
    <x v="1"/>
    <x v="1"/>
    <s v="Legal action taken against involved people"/>
    <s v="Paper leaked on social media"/>
    <s v="Bihar Board 10th Maths Exams Cancelled After Paper Leak, Cheating Allegations, Re-exam on March 24, Details here (indianexpress.com)"/>
    <x v="2"/>
    <s v="February"/>
    <n v="2"/>
    <n v="1"/>
  </r>
  <r>
    <s v="2021-12-13"/>
    <s v="MHADA Exam"/>
    <s v="Maharashtra Housing and Area Development Authority"/>
    <x v="0"/>
    <x v="13"/>
    <x v="1"/>
    <x v="1"/>
    <s v="Legal action taken against involved people"/>
    <s v="3 Persons trying to leak paper"/>
    <s v="MHADA cancels exam after 3 held for bid to leak question paper | Education - Hindustan Times"/>
    <x v="3"/>
    <s v="December"/>
    <n v="12"/>
    <n v="4"/>
  </r>
  <r>
    <s v="2021-12-12"/>
    <s v="Head Clerk"/>
    <s v="Gujarat Subordinate Service Selection Board"/>
    <x v="0"/>
    <x v="11"/>
    <x v="0"/>
    <x v="5"/>
    <s v="No Rexam"/>
    <s v="Selling of question papers"/>
    <s v="8 held, FIR against 11 as Gujarat govt admits to GSSSB paper leak | Gandhinagar News - The Indian Express"/>
    <x v="3"/>
    <s v="December"/>
    <n v="12"/>
    <n v="4"/>
  </r>
  <r>
    <s v="2021-12-04"/>
    <s v="UKSSSC Exam"/>
    <s v="Uttarakhand Subordinate Staff Selection Commission"/>
    <x v="0"/>
    <x v="20"/>
    <x v="1"/>
    <x v="1"/>
    <s v="Five more upcoming exam cancelled"/>
    <s v="Paper leaked on social media"/>
    <s v="Five recruitment exams cancelled in Uttarakhand after UKSSSC paper leak investigation - India Today"/>
    <x v="3"/>
    <s v="December"/>
    <n v="12"/>
    <n v="4"/>
  </r>
  <r>
    <s v="2021-09-28"/>
    <s v="Uttar Pradesh Teacher Eligbility Test"/>
    <s v="Department of Basic Education, Uttar Pradesh"/>
    <x v="0"/>
    <x v="9"/>
    <x v="1"/>
    <x v="1"/>
    <s v="Legal action taken against involved people"/>
    <s v="Paper leaked on social media"/>
    <s v="UPTET paper leak: Official suspended, 1 more arrested | Lucknow News - The Indian Express"/>
    <x v="3"/>
    <s v="September"/>
    <n v="9"/>
    <n v="3"/>
  </r>
  <r>
    <s v="2021-09-26"/>
    <s v="Rajasthan Eligibility Examination for Teachers"/>
    <s v="BOARD OF SECONDARY EDUCATION, Rajasthan"/>
    <x v="0"/>
    <x v="16"/>
    <x v="1"/>
    <x v="6"/>
    <s v="No Rexam"/>
    <s v="Paper leaked even after internet shutdown"/>
    <s v="Enforcement Directorate arrests kingpin of paper leak in Rajasthan teachers' recruitment test | India News - Times of India (indiatimes.com)"/>
    <x v="3"/>
    <s v="September"/>
    <n v="9"/>
    <n v="3"/>
  </r>
  <r>
    <s v="2021-09-14"/>
    <s v="National Law aptitude Test"/>
    <s v="National Law School of India University"/>
    <x v="1"/>
    <x v="4"/>
    <x v="0"/>
    <x v="3"/>
    <s v="Question leaked after exam started, so does not affect exam"/>
    <s v="Paper leaked on social media"/>
    <s v="'Does Not Affect Integrity Of Exam': NLSIU On Claims Of NLAT Re-Test Paper Leak (livelaw.in)"/>
    <x v="3"/>
    <s v="September"/>
    <n v="9"/>
    <n v="3"/>
  </r>
  <r>
    <s v="2021-09-02"/>
    <s v="JEE MAINS"/>
    <s v="National Testing Agency"/>
    <x v="1"/>
    <x v="4"/>
    <x v="1"/>
    <x v="6"/>
    <s v="Legal action against solvers, but no re-exam"/>
    <s v="Solving of question paper via remote access at a exam center"/>
    <s v="JEE Main 2021 Paper Leak Case: What Has Happened So Far (ndtv.com)"/>
    <x v="3"/>
    <s v="September"/>
    <n v="9"/>
    <n v="3"/>
  </r>
  <r>
    <s v="2021-08-06"/>
    <s v="General Department Competitive Exam"/>
    <s v="Railway Recruitment Board"/>
    <x v="1"/>
    <x v="9"/>
    <x v="1"/>
    <x v="4"/>
    <s v="Legal action against exam mafia"/>
    <s v="Paper leaked on social media"/>
    <s v="GDCE Exam: 11 Railway Employees Under CBI Scanner in Another Paper Leak Scandal Involving Rs 4 Lakh - News18"/>
    <x v="3"/>
    <s v="August"/>
    <n v="8"/>
    <n v="3"/>
  </r>
  <r>
    <s v="2020-09-04"/>
    <s v="2019 PSC Police Constable Exam"/>
    <s v="Kerala Public Service Commission"/>
    <x v="0"/>
    <x v="2"/>
    <x v="0"/>
    <x v="5"/>
    <s v="No Re-exam"/>
    <s v="Question paper leaked on social media"/>
    <s v="Kerala PSC question paper leak case: HC issues notice to state government - India Today"/>
    <x v="4"/>
    <s v="September"/>
    <n v="9"/>
    <n v="3"/>
  </r>
  <r>
    <s v="2020-02-17"/>
    <s v="Mathematics Prepatory Exam"/>
    <s v="Karnataka School Examination and Assessment Board"/>
    <x v="0"/>
    <x v="21"/>
    <x v="1"/>
    <x v="5"/>
    <s v="No Re-exam"/>
    <s v="Paper leaked on social media"/>
    <s v="SSLS preparatory exams: 14 students detained for maths paper leak | Bengaluru News - Times of India (indiatimes.com)"/>
    <x v="4"/>
    <s v="February"/>
    <n v="2"/>
    <n v="1"/>
  </r>
  <r>
    <s v="2019-08-28"/>
    <s v="JE Exam"/>
    <s v="Railway Recruitment Board"/>
    <x v="1"/>
    <x v="13"/>
    <x v="1"/>
    <x v="5"/>
    <s v="No Rexam"/>
    <s v="Screenshots of questions on social media"/>
    <s v="RRB JE exam paper leak row: Two booked, question paper circulated from Thane | Jobs News - The Indian Express"/>
    <x v="5"/>
    <s v="August"/>
    <n v="8"/>
    <n v="3"/>
  </r>
  <r>
    <s v="2019-02-25"/>
    <s v="High School Mathematics Exam"/>
    <s v="Bihar School Examination Board"/>
    <x v="0"/>
    <x v="7"/>
    <x v="1"/>
    <x v="5"/>
    <s v="No Rexam"/>
    <s v="Paper leaked on social media before exam"/>
    <s v="Bihar Board Class 10 Mathematics Question Paper Leaked - AglaSem News"/>
    <x v="5"/>
    <s v="February"/>
    <n v="2"/>
    <n v="1"/>
  </r>
  <r>
    <s v="2019-02-24"/>
    <s v="Mother India Language Exam"/>
    <s v="Board of Secondary Education, Odisha"/>
    <x v="0"/>
    <x v="14"/>
    <x v="1"/>
    <x v="5"/>
    <s v="No Rexam"/>
    <s v="Paper leaked on social media"/>
    <s v="5 school teachers arrested in Odisha Matric paper leak case for circulating images - India Today"/>
    <x v="5"/>
    <s v="February"/>
    <n v="2"/>
    <n v="1"/>
  </r>
  <r>
    <s v="2018-12-09"/>
    <s v="Gujarat Police Constable Recruitment"/>
    <s v="Gujarat Police Recruitment Board"/>
    <x v="0"/>
    <x v="11"/>
    <x v="1"/>
    <x v="1"/>
    <s v="Legal action taken against involved people"/>
    <s v="Paper leaked on social media before exam"/>
    <s v="3 more arrested in Gujarat Police Constable Recruitment paper leak case: Fresh exam on January 6 - India Today"/>
    <x v="6"/>
    <s v="December"/>
    <n v="12"/>
    <n v="4"/>
  </r>
  <r>
    <s v="2018-12-05"/>
    <s v="BCS-031"/>
    <s v="Indria Gandhi National Open University"/>
    <x v="1"/>
    <x v="22"/>
    <x v="1"/>
    <x v="1"/>
    <s v="Legal action taken against involved people"/>
    <s v="Paper leaked on social media from a center"/>
    <s v="IGNOU Question Paper Leak: Police Register FIR, Quiz Students (ndtv.com)"/>
    <x v="6"/>
    <s v="December"/>
    <n v="12"/>
    <n v="4"/>
  </r>
  <r>
    <s v="2018-03-27"/>
    <s v="10th Math and 12th Economics"/>
    <s v="CBSE"/>
    <x v="1"/>
    <x v="22"/>
    <x v="1"/>
    <x v="1"/>
    <s v="Legal action"/>
    <s v="Students got handwritten question paper and many other irregularities reported"/>
    <s v="CBSE Board Paper Leak 2018 Highlights: Students In Delhi Protest Against Decision To Hold Re-Examination (ndtv.com)"/>
    <x v="6"/>
    <s v="March"/>
    <n v="3"/>
    <n v="1"/>
  </r>
  <r>
    <s v="2018-03-19"/>
    <s v="History and political science"/>
    <s v="Maharashtra State Board of Secondary and Higher Secondary Education"/>
    <x v="0"/>
    <x v="13"/>
    <x v="1"/>
    <x v="5"/>
    <s v="No Rexam"/>
    <s v="One coaching leaked question paper before exam on their whatsapp group"/>
    <s v="SSC paper leak: 15 students found with History exam paper on WhatsApp at Kalyan school | Mumbai news - Hindustan Times"/>
    <x v="6"/>
    <s v="March"/>
    <n v="3"/>
    <n v="1"/>
  </r>
  <r>
    <s v="2018-02-21"/>
    <s v="CGL 2nd Tier, 2017"/>
    <s v="Staff Selection Comission"/>
    <x v="1"/>
    <x v="4"/>
    <x v="0"/>
    <x v="1"/>
    <s v="Legal action"/>
    <s v="Answer Key leaked before exam"/>
    <s v="SSC CGL paper leak case: Sify staffers among 17 booked by CBI | Education News - The Indian Express"/>
    <x v="6"/>
    <s v="February"/>
    <n v="2"/>
    <n v="1"/>
  </r>
  <r>
    <s v="2017-03-14"/>
    <s v="Class 12th CS and Physics"/>
    <s v="Himachal Pradesh Board of School Education"/>
    <x v="0"/>
    <x v="17"/>
    <x v="1"/>
    <x v="12"/>
    <s v="Exam cancelled on 1846 centers Legal action taken against involved people"/>
    <s v="Paper stolen"/>
    <s v="Himachal Pradesh Class 12 Board Exam Paper Leak - Careerindia"/>
    <x v="7"/>
    <s v="March"/>
    <n v="3"/>
    <n v="1"/>
  </r>
  <r>
    <s v="2017-03-06"/>
    <s v="Class 12th Marathi"/>
    <s v="Maharashtra State Board of Secondary and Higher Secondary Education"/>
    <x v="0"/>
    <x v="13"/>
    <x v="1"/>
    <x v="5"/>
    <s v="No Rexam"/>
    <s v="Paper leaked on social media"/>
    <s v="Maharashtra: Two college students arrested in HSC paper leak | Mumbai news - Hindustan Times"/>
    <x v="7"/>
    <s v="March"/>
    <n v="3"/>
    <n v="1"/>
  </r>
  <r>
    <s v="2017-02-10"/>
    <s v="HCS (Judicial) Paper -2017"/>
    <s v="Haryana Public Service Commission"/>
    <x v="0"/>
    <x v="23"/>
    <x v="1"/>
    <x v="2"/>
    <s v="No Rexam"/>
    <s v="Paper Leak"/>
    <s v="2017 Haryana Judges Paper Leak Case: Prosecution Concludes Arguments, Seeks No Mercy for Accused in ‘Ghastly Act’ - News18"/>
    <x v="7"/>
    <s v="February"/>
    <n v="2"/>
    <n v="1"/>
  </r>
  <r>
    <s v="2016-12-27"/>
    <s v="Review Officer/Assistant Review Officer - 2016"/>
    <s v="Uttar Pradesh Public Service Comission"/>
    <x v="0"/>
    <x v="9"/>
    <x v="1"/>
    <x v="1"/>
    <s v="Legal action against exam mafia"/>
    <s v="Paper leaked on social media"/>
    <s v="UPPSC RO/ARO 2016 Exam Cancelled @uppsc.up.nic.in, Check Here the Tentative Exam Dates (jagranjosh.com)"/>
    <x v="8"/>
    <s v="December"/>
    <n v="12"/>
    <n v="4"/>
  </r>
  <r>
    <s v="2016-05-01"/>
    <s v="NEET Phase 1 2016"/>
    <s v="CBSE"/>
    <x v="1"/>
    <x v="9"/>
    <x v="1"/>
    <x v="5"/>
    <s v="No Rexam"/>
    <s v="Cheating reported"/>
    <s v="NEET Phase 1 2016: Paper leaked in Varanasi - India Today"/>
    <x v="8"/>
    <s v="May"/>
    <n v="5"/>
    <n v="2"/>
  </r>
  <r>
    <s v="2015-05-25"/>
    <s v="UP CPMT 2015"/>
    <s v="King George's Medical University , Lucknow"/>
    <x v="0"/>
    <x v="9"/>
    <x v="1"/>
    <x v="5"/>
    <s v="No Rexam"/>
    <s v="Paper leaked on social media"/>
    <s v="Bid to leak UP CPMT answers: 3 MBBS students arrested | Lucknow News - The Indian Express"/>
    <x v="9"/>
    <s v="May"/>
    <n v="5"/>
    <n v="2"/>
  </r>
  <r>
    <s v="2015-05-03"/>
    <s v="AIPMT 2015"/>
    <s v="CBSE"/>
    <x v="1"/>
    <x v="4"/>
    <x v="1"/>
    <x v="1"/>
    <s v="Legal action against exam mafia"/>
    <s v="Paper leaked on social media"/>
    <s v="AIPMT cancelled, CBSE told to reconduct exam - India Today"/>
    <x v="9"/>
    <s v="May"/>
    <n v="5"/>
    <n v="2"/>
  </r>
  <r>
    <s v="2015-03-30"/>
    <s v="Provincial civil services preliminary examination"/>
    <s v="Uttar Pradesh Public Service Comission"/>
    <x v="0"/>
    <x v="9"/>
    <x v="1"/>
    <x v="1"/>
    <s v="Legal action against exam mafia"/>
    <s v="Paper leaked on social media before exam"/>
    <s v="Uttar Pradesh civil services exam cancelled after paper leaked on Whatsapp (livemint.com)"/>
    <x v="9"/>
    <s v="March"/>
    <n v="3"/>
    <n v="1"/>
  </r>
  <r>
    <s v="2014-06-23"/>
    <s v="UP CPMT 2014"/>
    <s v="King George's Medical University , Ghaziabadd"/>
    <x v="0"/>
    <x v="9"/>
    <x v="1"/>
    <x v="1"/>
    <s v="Legal action against exam mafia"/>
    <s v="Paper leaked on social media"/>
    <s v="CPMT 2014 paper leak: Aspirants dejected, demand compensation | Lucknow News - Times of India (indiatimes.com)"/>
    <x v="10"/>
    <s v="June"/>
    <n v="6"/>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pivotFields count="14">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Incidents" fld="0" subtotal="count" baseField="0" baseItem="3"/>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48:B55" firstHeaderRow="1" firstDataRow="1" firstDataCol="1"/>
  <pivotFields count="14">
    <pivotField dataField="1" showAll="0"/>
    <pivotField showAll="0"/>
    <pivotField showAll="0"/>
    <pivotField showAll="0"/>
    <pivotField showAll="0"/>
    <pivotField showAll="0"/>
    <pivotField axis="axisRow" showAll="0" sortType="ascending">
      <items count="14">
        <item h="1" x="0"/>
        <item x="6"/>
        <item x="8"/>
        <item h="1" x="9"/>
        <item x="1"/>
        <item h="1" x="12"/>
        <item x="5"/>
        <item h="1" x="2"/>
        <item x="10"/>
        <item x="4"/>
        <item h="1" x="7"/>
        <item h="1" x="11"/>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6"/>
  </rowFields>
  <rowItems count="7">
    <i>
      <x v="2"/>
    </i>
    <i>
      <x v="8"/>
    </i>
    <i>
      <x v="9"/>
    </i>
    <i>
      <x v="1"/>
    </i>
    <i>
      <x v="6"/>
    </i>
    <i>
      <x v="4"/>
    </i>
    <i t="grand">
      <x/>
    </i>
  </rowItems>
  <colItems count="1">
    <i/>
  </colItems>
  <dataFields count="1">
    <dataField name="Count of Date of Exam/Incident" fld="0" subtotal="count" baseField="0" baseItem="0"/>
  </dataFields>
  <formats count="15">
    <format dxfId="17">
      <pivotArea type="all" dataOnly="0" outline="0" fieldPosition="0"/>
    </format>
    <format dxfId="16">
      <pivotArea outline="0" collapsedLevelsAreSubtotals="1"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field="6" type="button" dataOnly="0" labelOnly="1" outline="0" axis="axisRow" fieldPosition="0"/>
    </format>
    <format dxfId="11">
      <pivotArea dataOnly="0" labelOnly="1" outline="0" axis="axisValues" fieldPosition="0"/>
    </format>
    <format dxfId="10">
      <pivotArea dataOnly="0" labelOnly="1" fieldPosition="0">
        <references count="1">
          <reference field="6" count="0"/>
        </references>
      </pivotArea>
    </format>
    <format dxfId="9">
      <pivotArea dataOnly="0" labelOnly="1" grandRow="1" outline="0" fieldPosition="0"/>
    </format>
    <format dxfId="8">
      <pivotArea type="all" dataOnly="0" outline="0" fieldPosition="0"/>
    </format>
    <format dxfId="7">
      <pivotArea outline="0" collapsedLevelsAreSubtotals="1" fieldPosition="0"/>
    </format>
    <format dxfId="6">
      <pivotArea field="6" type="button" dataOnly="0" labelOnly="1" outline="0" axis="axisRow" fieldPosition="0"/>
    </format>
    <format dxfId="5">
      <pivotArea dataOnly="0" labelOnly="1" outline="0" axis="axisValues" fieldPosition="0"/>
    </format>
    <format dxfId="4">
      <pivotArea dataOnly="0" labelOnly="1" fieldPosition="0">
        <references count="1">
          <reference field="6" count="0"/>
        </references>
      </pivotArea>
    </format>
    <format dxfId="3">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location ref="D6:E7" firstHeaderRow="1" firstDataRow="1" firstDataCol="1"/>
  <pivotFields count="14">
    <pivotField showAll="0"/>
    <pivotField showAll="0"/>
    <pivotField showAll="0"/>
    <pivotField showAll="0"/>
    <pivotField showAll="0"/>
    <pivotField showAll="0"/>
    <pivotField showAll="0"/>
    <pivotField showAll="0"/>
    <pivotField showAll="0"/>
    <pivotField showAll="0"/>
    <pivotField axis="axisRow" dataField="1" showAll="0">
      <items count="12">
        <item h="1" x="10"/>
        <item h="1" x="9"/>
        <item h="1" x="8"/>
        <item h="1" x="7"/>
        <item h="1" x="6"/>
        <item h="1" x="5"/>
        <item h="1" x="4"/>
        <item h="1" x="3"/>
        <item h="1" x="2"/>
        <item h="1" x="1"/>
        <item x="0"/>
        <item t="default"/>
      </items>
    </pivotField>
    <pivotField showAll="0"/>
    <pivotField showAll="0"/>
    <pivotField showAll="0"/>
  </pivotFields>
  <rowFields count="1">
    <field x="10"/>
  </rowFields>
  <rowItems count="1">
    <i>
      <x v="10"/>
    </i>
  </rowItems>
  <colItems count="1">
    <i/>
  </colItems>
  <dataFields count="1">
    <dataField name="Current Year" fld="10" subtotal="count" baseField="10" baseItem="10"/>
  </dataFields>
  <formats count="5">
    <format dxfId="22">
      <pivotArea type="all" dataOnly="0" outline="0" fieldPosition="0"/>
    </format>
    <format dxfId="21">
      <pivotArea outline="0" collapsedLevelsAreSubtotals="1" fieldPosition="0"/>
    </format>
    <format dxfId="20">
      <pivotArea field="10" type="button" dataOnly="0" labelOnly="1" outline="0" axis="axisRow" fieldPosition="0"/>
    </format>
    <format dxfId="19">
      <pivotArea dataOnly="0" labelOnly="1" outline="0" axis="axisValues" fieldPosition="0"/>
    </format>
    <format dxfId="18">
      <pivotArea dataOnly="0" labelOnly="1" fieldPosition="0">
        <references count="1">
          <reference field="1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3">
  <location ref="A28:B36" firstHeaderRow="1" firstDataRow="1" firstDataCol="1"/>
  <pivotFields count="14">
    <pivotField dataField="1" showAll="0"/>
    <pivotField showAll="0"/>
    <pivotField showAll="0"/>
    <pivotField showAll="0"/>
    <pivotField axis="axisRow" showAll="0" sortType="ascending">
      <items count="26">
        <item n="Multiple States" m="1" x="24"/>
        <item h="1" x="18"/>
        <item h="1" x="10"/>
        <item x="7"/>
        <item h="1" x="22"/>
        <item x="11"/>
        <item h="1" x="23"/>
        <item h="1" x="17"/>
        <item h="1" x="19"/>
        <item h="1" x="8"/>
        <item h="1" x="21"/>
        <item x="2"/>
        <item x="6"/>
        <item x="13"/>
        <item h="1" x="14"/>
        <item h="1" x="1"/>
        <item h="1" x="3"/>
        <item x="16"/>
        <item h="1" x="0"/>
        <item x="15"/>
        <item h="1" x="5"/>
        <item x="9"/>
        <item h="1" x="20"/>
        <item h="1" x="12"/>
        <item n="Multiple States2" h="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4"/>
  </rowFields>
  <rowItems count="8">
    <i>
      <x v="12"/>
    </i>
    <i>
      <x v="11"/>
    </i>
    <i>
      <x v="19"/>
    </i>
    <i>
      <x v="17"/>
    </i>
    <i>
      <x v="5"/>
    </i>
    <i>
      <x v="3"/>
    </i>
    <i>
      <x v="13"/>
    </i>
    <i>
      <x v="21"/>
    </i>
  </rowItems>
  <colItems count="1">
    <i/>
  </colItems>
  <dataFields count="1">
    <dataField name="Count of Date of Exam/Incident" fld="0" subtotal="count" baseField="0" baseItem="0"/>
  </dataFields>
  <formats count="12">
    <format dxfId="34">
      <pivotArea type="all" dataOnly="0" outline="0" fieldPosition="0"/>
    </format>
    <format dxfId="33">
      <pivotArea outline="0" collapsedLevelsAreSubtotals="1" fieldPosition="0"/>
    </format>
    <format dxfId="32">
      <pivotArea dataOnly="0" labelOnly="1" outline="0" axis="axisValues" fieldPosition="0"/>
    </format>
    <format dxfId="31">
      <pivotArea type="all" dataOnly="0" outline="0" fieldPosition="0"/>
    </format>
    <format dxfId="30">
      <pivotArea outline="0" collapsedLevelsAreSubtotals="1" fieldPosition="0"/>
    </format>
    <format dxfId="29">
      <pivotArea field="4" type="button" dataOnly="0" labelOnly="1" outline="0" axis="axisRow"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4" type="button" dataOnly="0" labelOnly="1" outline="0" axis="axisRow" fieldPosition="0"/>
    </format>
    <format dxfId="24">
      <pivotArea dataOnly="0" labelOnly="1" outline="0" axis="axisValues" fieldPosition="0"/>
    </format>
    <format dxfId="23">
      <pivotArea dataOnly="0" labelOnly="1" fieldPosition="0">
        <references count="1">
          <reference field="4"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H47:I50" firstHeaderRow="1" firstDataRow="1" firstDataCol="1"/>
  <pivotFields count="14">
    <pivotField dataField="1"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s>
  <rowFields count="1">
    <field x="5"/>
  </rowFields>
  <rowItems count="3">
    <i>
      <x/>
    </i>
    <i>
      <x v="1"/>
    </i>
    <i t="grand">
      <x/>
    </i>
  </rowItems>
  <colItems count="1">
    <i/>
  </colItems>
  <dataFields count="1">
    <dataField name="Count of Date of Exam/Incident" fld="0" subtotal="count" baseField="0" baseItem="0"/>
  </dataFields>
  <formats count="6">
    <format dxfId="40">
      <pivotArea type="all" dataOnly="0" outline="0" fieldPosition="0"/>
    </format>
    <format dxfId="39">
      <pivotArea outline="0" collapsedLevelsAreSubtotals="1" fieldPosition="0"/>
    </format>
    <format dxfId="38">
      <pivotArea field="5" type="button" dataOnly="0" labelOnly="1" outline="0" axis="axisRow" fieldPosition="0"/>
    </format>
    <format dxfId="37">
      <pivotArea dataOnly="0" labelOnly="1" outline="0" axis="axisValues" fieldPosition="0"/>
    </format>
    <format dxfId="36">
      <pivotArea dataOnly="0" labelOnly="1" fieldPosition="0">
        <references count="1">
          <reference field="5" count="0"/>
        </references>
      </pivotArea>
    </format>
    <format dxfId="35">
      <pivotArea dataOnly="0" labelOnly="1" grandRow="1" outline="0" fieldPosition="0"/>
    </format>
  </formats>
  <chartFormats count="6">
    <chartFormat chart="1" format="0"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5" count="1" selected="0">
            <x v="0"/>
          </reference>
        </references>
      </pivotArea>
    </chartFormat>
    <chartFormat chart="3" format="11">
      <pivotArea type="data" outline="0" fieldPosition="0">
        <references count="2">
          <reference field="4294967294" count="1" selected="0">
            <x v="0"/>
          </reference>
          <reference field="5" count="1" selected="0">
            <x v="1"/>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location ref="D3:E4" firstHeaderRow="1" firstDataRow="1" firstDataCol="1"/>
  <pivotFields count="14">
    <pivotField showAll="0"/>
    <pivotField showAll="0"/>
    <pivotField showAll="0"/>
    <pivotField showAll="0"/>
    <pivotField showAll="0"/>
    <pivotField showAll="0"/>
    <pivotField axis="axisRow" dataField="1" showAll="0">
      <items count="14">
        <item h="1" x="0"/>
        <item h="1" x="6"/>
        <item h="1" x="8"/>
        <item h="1" x="9"/>
        <item x="1"/>
        <item h="1" x="12"/>
        <item h="1" x="5"/>
        <item h="1" x="2"/>
        <item h="1" x="10"/>
        <item h="1" x="4"/>
        <item h="1" x="7"/>
        <item h="1" x="11"/>
        <item h="1" x="3"/>
        <item t="default"/>
      </items>
    </pivotField>
    <pivotField showAll="0"/>
    <pivotField showAll="0"/>
    <pivotField showAll="0"/>
    <pivotField showAll="0"/>
    <pivotField showAll="0"/>
    <pivotField showAll="0"/>
    <pivotField showAll="0"/>
  </pivotFields>
  <rowFields count="1">
    <field x="6"/>
  </rowFields>
  <rowItems count="1">
    <i>
      <x v="4"/>
    </i>
  </rowItems>
  <colItems count="1">
    <i/>
  </colItems>
  <dataFields count="1">
    <dataField name="Exam Cancelled" fld="6" subtotal="count" baseField="6" baseItem="4"/>
  </dataFields>
  <formats count="5">
    <format dxfId="45">
      <pivotArea type="all" dataOnly="0" outline="0" fieldPosition="0"/>
    </format>
    <format dxfId="44">
      <pivotArea outline="0" collapsedLevelsAreSubtotals="1" fieldPosition="0"/>
    </format>
    <format dxfId="43">
      <pivotArea field="6" type="button" dataOnly="0" labelOnly="1" outline="0" axis="axisRow" fieldPosition="0"/>
    </format>
    <format dxfId="42">
      <pivotArea dataOnly="0" labelOnly="1" outline="0" axis="axisValues" fieldPosition="0"/>
    </format>
    <format dxfId="41">
      <pivotArea dataOnly="0" labelOnly="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6">
  <location ref="A13:B24" firstHeaderRow="1" firstDataRow="1" firstDataCol="1"/>
  <pivotFields count="14">
    <pivotField dataField="1" showAll="0"/>
    <pivotField showAll="0"/>
    <pivotField showAll="0"/>
    <pivotField showAll="0">
      <items count="4">
        <item x="1"/>
        <item x="2"/>
        <item x="0"/>
        <item t="default"/>
      </items>
    </pivotField>
    <pivotField showAll="0">
      <items count="26">
        <item m="1" x="24"/>
        <item x="18"/>
        <item x="10"/>
        <item x="7"/>
        <item x="22"/>
        <item x="11"/>
        <item x="23"/>
        <item x="17"/>
        <item x="19"/>
        <item x="8"/>
        <item x="21"/>
        <item x="2"/>
        <item x="6"/>
        <item x="13"/>
        <item x="4"/>
        <item x="14"/>
        <item x="1"/>
        <item x="3"/>
        <item x="16"/>
        <item x="0"/>
        <item x="15"/>
        <item x="5"/>
        <item x="9"/>
        <item x="20"/>
        <item x="12"/>
        <item t="default"/>
      </items>
    </pivotField>
    <pivotField showAll="0"/>
    <pivotField showAll="0"/>
    <pivotField showAll="0"/>
    <pivotField showAll="0"/>
    <pivotField showAll="0"/>
    <pivotField axis="axisRow" showAll="0">
      <items count="12">
        <item x="10"/>
        <item x="9"/>
        <item x="8"/>
        <item x="7"/>
        <item x="6"/>
        <item x="5"/>
        <item x="4"/>
        <item x="3"/>
        <item x="2"/>
        <item x="1"/>
        <item x="0"/>
        <item t="default"/>
      </items>
    </pivotField>
    <pivotField showAll="0"/>
    <pivotField showAll="0"/>
    <pivotField showAll="0"/>
  </pivotFields>
  <rowFields count="1">
    <field x="10"/>
  </rowFields>
  <rowItems count="11">
    <i>
      <x/>
    </i>
    <i>
      <x v="1"/>
    </i>
    <i>
      <x v="2"/>
    </i>
    <i>
      <x v="3"/>
    </i>
    <i>
      <x v="4"/>
    </i>
    <i>
      <x v="5"/>
    </i>
    <i>
      <x v="6"/>
    </i>
    <i>
      <x v="7"/>
    </i>
    <i>
      <x v="8"/>
    </i>
    <i>
      <x v="9"/>
    </i>
    <i>
      <x v="10"/>
    </i>
  </rowItems>
  <colItems count="1">
    <i/>
  </colItems>
  <dataFields count="1">
    <dataField name="Total Incidents" fld="0" subtotal="count" baseField="0" baseItem="3"/>
  </dataFields>
  <formats count="5">
    <format dxfId="50">
      <pivotArea type="all" dataOnly="0" outline="0" fieldPosition="0"/>
    </format>
    <format dxfId="49">
      <pivotArea outline="0" collapsedLevelsAreSubtotals="1" fieldPosition="0"/>
    </format>
    <format dxfId="48">
      <pivotArea field="10" type="button" dataOnly="0" labelOnly="1" outline="0" axis="axisRow" fieldPosition="0"/>
    </format>
    <format dxfId="47">
      <pivotArea dataOnly="0" labelOnly="1" outline="0" axis="axisValues" fieldPosition="0"/>
    </format>
    <format dxfId="46">
      <pivotArea dataOnly="0" labelOnly="1" fieldPosition="0">
        <references count="1">
          <reference field="10" count="0"/>
        </references>
      </pivotArea>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location ref="A6:B8" firstHeaderRow="1" firstDataRow="1" firstDataCol="1"/>
  <pivotFields count="14">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s>
  <rowFields count="1">
    <field x="5"/>
  </rowFields>
  <rowItems count="2">
    <i>
      <x/>
    </i>
    <i>
      <x v="1"/>
    </i>
  </rowItems>
  <colItems count="1">
    <i/>
  </colItems>
  <dataFields count="1">
    <dataField name="Confirmed Cases" fld="5" subtotal="count" showDataAs="percentOfTotal" baseField="5" baseItem="1" numFmtId="9"/>
  </dataFields>
  <formats count="11">
    <format dxfId="61">
      <pivotArea field="5" type="button" dataOnly="0" labelOnly="1" outline="0" axis="axisRow" fieldPosition="0"/>
    </format>
    <format dxfId="60">
      <pivotArea dataOnly="0" labelOnly="1" outline="0" axis="axisValues" fieldPosition="0"/>
    </format>
    <format dxfId="59">
      <pivotArea field="5" type="button" dataOnly="0" labelOnly="1" outline="0" axis="axisRow" fieldPosition="0"/>
    </format>
    <format dxfId="58">
      <pivotArea dataOnly="0" labelOnly="1" outline="0" axis="axisValues" fieldPosition="0"/>
    </format>
    <format dxfId="57">
      <pivotArea type="all" dataOnly="0" outline="0" fieldPosition="0"/>
    </format>
    <format dxfId="56">
      <pivotArea outline="0" fieldPosition="0">
        <references count="1">
          <reference field="4294967294" count="1">
            <x v="0"/>
          </reference>
        </references>
      </pivotArea>
    </format>
    <format dxfId="55">
      <pivotArea type="all" dataOnly="0" outline="0" fieldPosition="0"/>
    </format>
    <format dxfId="54">
      <pivotArea outline="0" collapsedLevelsAreSubtotals="1" fieldPosition="0"/>
    </format>
    <format dxfId="53">
      <pivotArea field="5" type="button" dataOnly="0" labelOnly="1" outline="0" axis="axisRow" fieldPosition="0"/>
    </format>
    <format dxfId="52">
      <pivotArea dataOnly="0" labelOnly="1" outline="0" axis="axisValues" fieldPosition="0"/>
    </format>
    <format dxfId="51">
      <pivotArea dataOnly="0" labelOnly="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H31:I35" firstHeaderRow="1" firstDataRow="1" firstDataCol="1"/>
  <pivotFields count="14">
    <pivotField dataField="1"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Total Incidents" fld="0" subtotal="count" baseField="0" baseItem="3"/>
  </dataFields>
  <formats count="6">
    <format dxfId="67">
      <pivotArea type="all" dataOnly="0" outline="0" fieldPosition="0"/>
    </format>
    <format dxfId="66">
      <pivotArea outline="0" collapsedLevelsAreSubtotals="1" fieldPosition="0"/>
    </format>
    <format dxfId="65">
      <pivotArea field="3" type="button" dataOnly="0" labelOnly="1" outline="0" axis="axisRow" fieldPosition="0"/>
    </format>
    <format dxfId="64">
      <pivotArea dataOnly="0" labelOnly="1" outline="0" axis="axisValues" fieldPosition="0"/>
    </format>
    <format dxfId="63">
      <pivotArea dataOnly="0" labelOnly="1" fieldPosition="0">
        <references count="1">
          <reference field="3" count="0"/>
        </references>
      </pivotArea>
    </format>
    <format dxfId="62">
      <pivotArea dataOnly="0" labelOnly="1" grandRow="1" outline="0" fieldPosition="0"/>
    </format>
  </format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3" count="1" selected="0">
            <x v="0"/>
          </reference>
        </references>
      </pivotArea>
    </chartFormat>
    <chartFormat chart="4" format="7">
      <pivotArea type="data" outline="0" fieldPosition="0">
        <references count="2">
          <reference field="4294967294" count="1" selected="0">
            <x v="0"/>
          </reference>
          <reference field="3" count="1" selected="0">
            <x v="1"/>
          </reference>
        </references>
      </pivotArea>
    </chartFormat>
    <chartFormat chart="4" format="8">
      <pivotArea type="data" outline="0" fieldPosition="0">
        <references count="2">
          <reference field="4294967294" count="1" selected="0">
            <x v="0"/>
          </reference>
          <reference field="3" count="1" selected="0">
            <x v="2"/>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4" name="PivotTable5"/>
  </pivotTables>
  <data>
    <tabular pivotCacheId="1">
      <items count="11">
        <i x="10" s="1"/>
        <i x="9" s="1"/>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rea_s__of_Incident" sourceName="Area(s) of Incident">
  <pivotTables>
    <pivotTable tabId="4" name="PivotTable5"/>
  </pivotTables>
  <data>
    <tabular pivotCacheId="1">
      <items count="25">
        <i x="18" s="1"/>
        <i x="10" s="1"/>
        <i x="7" s="1"/>
        <i x="22" s="1"/>
        <i x="11" s="1"/>
        <i x="23" s="1"/>
        <i x="17" s="1"/>
        <i x="19" s="1"/>
        <i x="8" s="1"/>
        <i x="21" s="1"/>
        <i x="2" s="1"/>
        <i x="6" s="1"/>
        <i x="13" s="1"/>
        <i x="4" s="1"/>
        <i x="14" s="1"/>
        <i x="1" s="1"/>
        <i x="3" s="1"/>
        <i x="16" s="1"/>
        <i x="0" s="1"/>
        <i x="15" s="1"/>
        <i x="5" s="1"/>
        <i x="9" s="1"/>
        <i x="20" s="1"/>
        <i x="12" s="1"/>
        <i x="2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nducting_Body_Type" sourceName="Conducting Body Type">
  <pivotTables>
    <pivotTable tabId="4" name="PivotTable5"/>
  </pivotTables>
  <data>
    <tabular pivotCacheId="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style="SlicerStyleDark2" rowHeight="241300"/>
  <slicer name="Area(s) of Incident" cache="Slicer_Area_s__of_Incident" caption="State" style="SlicerStyleDark2" rowHeight="241300"/>
  <slicer name="Conducting Body Type" cache="Slicer_Conducting_Body_Type" caption="Body Type" style="SlicerStyleDark2" rowHeight="241300"/>
</slicers>
</file>

<file path=xl/tables/table1.xml><?xml version="1.0" encoding="utf-8"?>
<table xmlns="http://schemas.openxmlformats.org/spreadsheetml/2006/main" id="1" name="Table1" displayName="Table1" ref="A1:N67" totalsRowShown="0" headerRowDxfId="71" headerRowBorderDxfId="70" tableBorderDxfId="69">
  <autoFilter ref="A1:N67"/>
  <tableColumns count="14">
    <tableColumn id="1" name="Date of Exam/Incident"/>
    <tableColumn id="2" name="Exam Name"/>
    <tableColumn id="3" name="Conducting Body"/>
    <tableColumn id="4" name="Conducting Body Type"/>
    <tableColumn id="5" name="Area(s) of Incident"/>
    <tableColumn id="6" name="Leak Confirmation Status"/>
    <tableColumn id="7" name="Action taken"/>
    <tableColumn id="8" name="Note about action Taken"/>
    <tableColumn id="9" name="Note about incident"/>
    <tableColumn id="10" name="References "/>
    <tableColumn id="11" name="Year"/>
    <tableColumn id="12" name="Month"/>
    <tableColumn id="13" name="Month_No"/>
    <tableColumn id="14" name="Quarte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4"/>
  <sheetViews>
    <sheetView topLeftCell="A4" workbookViewId="0">
      <selection activeCell="J60" sqref="J60"/>
    </sheetView>
  </sheetViews>
  <sheetFormatPr defaultRowHeight="15" x14ac:dyDescent="0.25"/>
  <sheetData>
    <row r="1" spans="1:15" ht="31.5" x14ac:dyDescent="0.5">
      <c r="A1" s="67" t="s">
        <v>362</v>
      </c>
      <c r="B1" s="68"/>
      <c r="C1" s="68"/>
      <c r="D1" s="68"/>
      <c r="E1" s="68"/>
      <c r="F1" s="68"/>
      <c r="G1" s="68"/>
      <c r="H1" s="68"/>
      <c r="I1" s="68"/>
      <c r="J1" s="68"/>
      <c r="K1" s="68"/>
      <c r="L1" s="68"/>
      <c r="M1" s="68"/>
      <c r="N1" s="68"/>
      <c r="O1" s="69"/>
    </row>
    <row r="3" spans="1:15" ht="28.5" x14ac:dyDescent="0.45">
      <c r="A3" s="64" t="s">
        <v>363</v>
      </c>
      <c r="B3" s="65"/>
      <c r="C3" s="65"/>
      <c r="D3" s="65"/>
      <c r="E3" s="66"/>
    </row>
    <row r="5" spans="1:15" ht="21" x14ac:dyDescent="0.35">
      <c r="A5" s="28" t="s">
        <v>364</v>
      </c>
      <c r="B5" s="29"/>
      <c r="C5" s="2"/>
      <c r="D5" s="2"/>
      <c r="E5" s="2"/>
      <c r="F5" s="2"/>
      <c r="G5" s="2"/>
      <c r="H5" s="2"/>
      <c r="I5" s="2"/>
      <c r="J5" s="2"/>
      <c r="K5" s="2"/>
      <c r="L5" s="2"/>
      <c r="M5" s="2"/>
      <c r="N5" s="16"/>
    </row>
    <row r="6" spans="1:15" ht="21" x14ac:dyDescent="0.35">
      <c r="A6" s="17" t="s">
        <v>365</v>
      </c>
      <c r="B6" s="18"/>
      <c r="C6" s="18"/>
      <c r="D6" s="18"/>
      <c r="E6" s="18"/>
      <c r="F6" s="18"/>
      <c r="G6" s="18"/>
      <c r="H6" s="18"/>
      <c r="I6" s="18"/>
      <c r="J6" s="18"/>
      <c r="K6" s="18"/>
      <c r="L6" s="18"/>
      <c r="M6" s="18"/>
      <c r="N6" s="19"/>
    </row>
    <row r="7" spans="1:15" ht="21" x14ac:dyDescent="0.35">
      <c r="A7" s="17" t="s">
        <v>366</v>
      </c>
      <c r="B7" s="18"/>
      <c r="C7" s="18"/>
      <c r="D7" s="18"/>
      <c r="E7" s="18"/>
      <c r="F7" s="18"/>
      <c r="G7" s="18"/>
      <c r="H7" s="18"/>
      <c r="I7" s="18"/>
      <c r="J7" s="18"/>
      <c r="K7" s="18"/>
      <c r="L7" s="18"/>
      <c r="M7" s="18"/>
      <c r="N7" s="9"/>
    </row>
    <row r="8" spans="1:15" x14ac:dyDescent="0.25">
      <c r="A8" s="13"/>
      <c r="B8" s="14"/>
      <c r="C8" s="14"/>
      <c r="D8" s="14"/>
      <c r="E8" s="14"/>
      <c r="F8" s="14"/>
      <c r="G8" s="14"/>
      <c r="H8" s="14"/>
      <c r="I8" s="14"/>
      <c r="J8" s="14"/>
      <c r="K8" s="14"/>
      <c r="L8" s="14"/>
      <c r="M8" s="14"/>
      <c r="N8" s="15"/>
    </row>
    <row r="10" spans="1:15" ht="28.5" x14ac:dyDescent="0.45">
      <c r="A10" s="64" t="s">
        <v>367</v>
      </c>
      <c r="B10" s="65"/>
      <c r="C10" s="65"/>
      <c r="D10" s="65"/>
      <c r="E10" s="66"/>
    </row>
    <row r="11" spans="1:15" ht="21" x14ac:dyDescent="0.35">
      <c r="A11" s="20" t="s">
        <v>368</v>
      </c>
      <c r="B11" s="21"/>
      <c r="C11" s="21"/>
      <c r="D11" s="21"/>
      <c r="E11" s="21"/>
      <c r="F11" s="21"/>
      <c r="G11" s="21"/>
      <c r="H11" s="21"/>
      <c r="I11" s="2"/>
      <c r="J11" s="2"/>
      <c r="K11" s="2"/>
      <c r="L11" s="2"/>
      <c r="M11" s="2"/>
      <c r="N11" s="16"/>
    </row>
    <row r="12" spans="1:15" ht="21" x14ac:dyDescent="0.35">
      <c r="A12" s="22" t="s">
        <v>369</v>
      </c>
      <c r="B12" s="18"/>
      <c r="C12" s="18"/>
      <c r="D12" s="18"/>
      <c r="E12" s="18"/>
      <c r="F12" s="18"/>
      <c r="G12" s="18"/>
      <c r="H12" s="18"/>
      <c r="I12" s="8"/>
      <c r="J12" s="8"/>
      <c r="K12" s="8"/>
      <c r="L12" s="8"/>
      <c r="M12" s="8"/>
      <c r="N12" s="9"/>
    </row>
    <row r="13" spans="1:15" ht="21" x14ac:dyDescent="0.35">
      <c r="A13" s="22" t="s">
        <v>370</v>
      </c>
      <c r="B13" s="18"/>
      <c r="C13" s="18"/>
      <c r="D13" s="18"/>
      <c r="E13" s="18"/>
      <c r="F13" s="18"/>
      <c r="G13" s="18"/>
      <c r="H13" s="18"/>
      <c r="I13" s="18"/>
      <c r="J13" s="8"/>
      <c r="K13" s="8"/>
      <c r="L13" s="8"/>
      <c r="M13" s="8"/>
      <c r="N13" s="9"/>
    </row>
    <row r="14" spans="1:15" ht="21" x14ac:dyDescent="0.35">
      <c r="A14" s="23" t="s">
        <v>371</v>
      </c>
      <c r="B14" s="14"/>
      <c r="C14" s="14"/>
      <c r="D14" s="14"/>
      <c r="E14" s="14"/>
      <c r="F14" s="14"/>
      <c r="G14" s="14"/>
      <c r="H14" s="14"/>
      <c r="I14" s="14"/>
      <c r="J14" s="14"/>
      <c r="K14" s="14"/>
      <c r="L14" s="14"/>
      <c r="M14" s="14"/>
      <c r="N14" s="15"/>
    </row>
    <row r="16" spans="1:15" ht="28.5" x14ac:dyDescent="0.45">
      <c r="A16" s="61" t="s">
        <v>372</v>
      </c>
      <c r="B16" s="62"/>
      <c r="C16" s="62"/>
      <c r="D16" s="62"/>
      <c r="E16" s="63"/>
    </row>
    <row r="17" spans="1:15" ht="21" x14ac:dyDescent="0.35">
      <c r="A17" s="20" t="s">
        <v>374</v>
      </c>
      <c r="B17" s="21"/>
      <c r="C17" s="21"/>
      <c r="D17" s="21"/>
      <c r="E17" s="21"/>
      <c r="F17" s="21"/>
      <c r="G17" s="2"/>
      <c r="H17" s="2"/>
      <c r="I17" s="2"/>
      <c r="J17" s="2"/>
      <c r="K17" s="2"/>
      <c r="L17" s="2"/>
      <c r="M17" s="2"/>
      <c r="N17" s="2"/>
      <c r="O17" s="16"/>
    </row>
    <row r="18" spans="1:15" ht="21" x14ac:dyDescent="0.35">
      <c r="A18" s="7"/>
      <c r="B18" s="24" t="s">
        <v>375</v>
      </c>
      <c r="C18" s="24"/>
      <c r="D18" s="24"/>
      <c r="E18" s="24"/>
      <c r="F18" s="24"/>
      <c r="G18" s="24"/>
      <c r="H18" s="24"/>
      <c r="I18" s="24"/>
      <c r="J18" s="25"/>
      <c r="K18" s="25"/>
      <c r="L18" s="8"/>
      <c r="M18" s="8"/>
      <c r="N18" s="8"/>
      <c r="O18" s="9"/>
    </row>
    <row r="19" spans="1:15" ht="21" x14ac:dyDescent="0.35">
      <c r="A19" s="7"/>
      <c r="B19" s="24" t="s">
        <v>376</v>
      </c>
      <c r="C19" s="24"/>
      <c r="D19" s="24"/>
      <c r="E19" s="24"/>
      <c r="F19" s="8"/>
      <c r="G19" s="8"/>
      <c r="H19" s="8"/>
      <c r="I19" s="8"/>
      <c r="J19" s="8"/>
      <c r="K19" s="8"/>
      <c r="L19" s="8"/>
      <c r="M19" s="8"/>
      <c r="N19" s="8"/>
      <c r="O19" s="9"/>
    </row>
    <row r="20" spans="1:15" x14ac:dyDescent="0.25">
      <c r="A20" s="7"/>
      <c r="B20" s="8"/>
      <c r="C20" s="8"/>
      <c r="D20" s="8"/>
      <c r="E20" s="8"/>
      <c r="F20" s="8"/>
      <c r="G20" s="8"/>
      <c r="H20" s="8"/>
      <c r="I20" s="8"/>
      <c r="J20" s="8"/>
      <c r="K20" s="8"/>
      <c r="L20" s="8"/>
      <c r="M20" s="8"/>
      <c r="N20" s="8"/>
      <c r="O20" s="9"/>
    </row>
    <row r="21" spans="1:15" ht="21" x14ac:dyDescent="0.35">
      <c r="A21" s="22" t="s">
        <v>377</v>
      </c>
      <c r="B21" s="26"/>
      <c r="C21" s="26"/>
      <c r="D21" s="26"/>
      <c r="E21" s="26"/>
      <c r="F21" s="8"/>
      <c r="G21" s="8"/>
      <c r="H21" s="8"/>
      <c r="I21" s="8"/>
      <c r="J21" s="8"/>
      <c r="K21" s="8"/>
      <c r="L21" s="8"/>
      <c r="M21" s="8"/>
      <c r="N21" s="8"/>
      <c r="O21" s="9"/>
    </row>
    <row r="22" spans="1:15" ht="21" x14ac:dyDescent="0.35">
      <c r="A22" s="7"/>
      <c r="B22" s="24" t="s">
        <v>378</v>
      </c>
      <c r="C22" s="24"/>
      <c r="D22" s="24"/>
      <c r="E22" s="24"/>
      <c r="F22" s="24"/>
      <c r="G22" s="24"/>
      <c r="H22" s="24"/>
      <c r="I22" s="24"/>
      <c r="J22" s="25"/>
      <c r="K22" s="25"/>
      <c r="L22" s="8"/>
      <c r="M22" s="8"/>
      <c r="N22" s="8"/>
      <c r="O22" s="9"/>
    </row>
    <row r="23" spans="1:15" ht="21" x14ac:dyDescent="0.35">
      <c r="A23" s="7"/>
      <c r="B23" s="24" t="s">
        <v>379</v>
      </c>
      <c r="C23" s="24"/>
      <c r="D23" s="24"/>
      <c r="E23" s="24"/>
      <c r="F23" s="8"/>
      <c r="G23" s="8"/>
      <c r="H23" s="8"/>
      <c r="I23" s="8"/>
      <c r="J23" s="8"/>
      <c r="K23" s="8"/>
      <c r="L23" s="8"/>
      <c r="M23" s="8"/>
      <c r="N23" s="8"/>
      <c r="O23" s="9"/>
    </row>
    <row r="24" spans="1:15" x14ac:dyDescent="0.25">
      <c r="A24" s="7"/>
      <c r="B24" s="8"/>
      <c r="C24" s="8"/>
      <c r="D24" s="8"/>
      <c r="E24" s="8"/>
      <c r="F24" s="8"/>
      <c r="G24" s="8"/>
      <c r="H24" s="8"/>
      <c r="I24" s="8"/>
      <c r="J24" s="8"/>
      <c r="K24" s="8"/>
      <c r="L24" s="8"/>
      <c r="M24" s="8"/>
      <c r="N24" s="8"/>
      <c r="O24" s="9"/>
    </row>
    <row r="25" spans="1:15" ht="21" x14ac:dyDescent="0.35">
      <c r="A25" s="22" t="s">
        <v>380</v>
      </c>
      <c r="B25" s="26"/>
      <c r="C25" s="26"/>
      <c r="D25" s="26"/>
      <c r="E25" s="26"/>
      <c r="F25" s="26"/>
      <c r="G25" s="8"/>
      <c r="H25" s="8"/>
      <c r="I25" s="8"/>
      <c r="J25" s="8"/>
      <c r="K25" s="8"/>
      <c r="L25" s="8"/>
      <c r="M25" s="8"/>
      <c r="N25" s="8"/>
      <c r="O25" s="9"/>
    </row>
    <row r="26" spans="1:15" ht="21" x14ac:dyDescent="0.35">
      <c r="A26" s="7"/>
      <c r="B26" s="24" t="s">
        <v>381</v>
      </c>
      <c r="C26" s="24"/>
      <c r="D26" s="24"/>
      <c r="E26" s="24"/>
      <c r="F26" s="24"/>
      <c r="G26" s="24"/>
      <c r="H26" s="24"/>
      <c r="I26" s="24"/>
      <c r="J26" s="25"/>
      <c r="K26" s="25"/>
      <c r="L26" s="8"/>
      <c r="M26" s="8"/>
      <c r="N26" s="8"/>
      <c r="O26" s="9"/>
    </row>
    <row r="27" spans="1:15" ht="21" x14ac:dyDescent="0.35">
      <c r="A27" s="7"/>
      <c r="B27" s="24" t="s">
        <v>382</v>
      </c>
      <c r="C27" s="24"/>
      <c r="D27" s="24"/>
      <c r="E27" s="24"/>
      <c r="F27" s="8"/>
      <c r="G27" s="8"/>
      <c r="H27" s="8"/>
      <c r="I27" s="8"/>
      <c r="J27" s="8"/>
      <c r="K27" s="8"/>
      <c r="L27" s="8"/>
      <c r="M27" s="8"/>
      <c r="N27" s="8"/>
      <c r="O27" s="9"/>
    </row>
    <row r="28" spans="1:15" x14ac:dyDescent="0.25">
      <c r="A28" s="7"/>
      <c r="B28" s="8"/>
      <c r="C28" s="8"/>
      <c r="D28" s="8"/>
      <c r="E28" s="8"/>
      <c r="F28" s="8"/>
      <c r="G28" s="8"/>
      <c r="H28" s="8"/>
      <c r="I28" s="8"/>
      <c r="J28" s="8"/>
      <c r="K28" s="8"/>
      <c r="L28" s="8"/>
      <c r="M28" s="8"/>
      <c r="N28" s="8"/>
      <c r="O28" s="9"/>
    </row>
    <row r="29" spans="1:15" ht="21" x14ac:dyDescent="0.35">
      <c r="A29" s="22" t="s">
        <v>384</v>
      </c>
      <c r="B29" s="26"/>
      <c r="C29" s="26"/>
      <c r="D29" s="27"/>
      <c r="E29" s="8"/>
      <c r="F29" s="8"/>
      <c r="G29" s="8"/>
      <c r="H29" s="8"/>
      <c r="I29" s="8"/>
      <c r="J29" s="8"/>
      <c r="K29" s="8"/>
      <c r="L29" s="8"/>
      <c r="M29" s="8"/>
      <c r="N29" s="8"/>
      <c r="O29" s="9"/>
    </row>
    <row r="30" spans="1:15" ht="21" x14ac:dyDescent="0.35">
      <c r="A30" s="7"/>
      <c r="B30" s="24" t="s">
        <v>385</v>
      </c>
      <c r="C30" s="24"/>
      <c r="D30" s="24"/>
      <c r="E30" s="24"/>
      <c r="F30" s="24"/>
      <c r="G30" s="24"/>
      <c r="H30" s="24"/>
      <c r="I30" s="24"/>
      <c r="J30" s="25"/>
      <c r="K30" s="25"/>
      <c r="L30" s="8"/>
      <c r="M30" s="8"/>
      <c r="N30" s="8"/>
      <c r="O30" s="9"/>
    </row>
    <row r="31" spans="1:15" ht="21" x14ac:dyDescent="0.35">
      <c r="A31" s="7"/>
      <c r="B31" s="24" t="s">
        <v>379</v>
      </c>
      <c r="C31" s="24"/>
      <c r="D31" s="24"/>
      <c r="E31" s="24"/>
      <c r="F31" s="8"/>
      <c r="G31" s="8"/>
      <c r="H31" s="8"/>
      <c r="I31" s="8"/>
      <c r="J31" s="8"/>
      <c r="K31" s="8"/>
      <c r="L31" s="8"/>
      <c r="M31" s="8"/>
      <c r="N31" s="8"/>
      <c r="O31" s="9"/>
    </row>
    <row r="32" spans="1:15" x14ac:dyDescent="0.25">
      <c r="A32" s="7"/>
      <c r="B32" s="8"/>
      <c r="C32" s="8"/>
      <c r="D32" s="8"/>
      <c r="E32" s="8"/>
      <c r="F32" s="8"/>
      <c r="G32" s="8"/>
      <c r="H32" s="8"/>
      <c r="I32" s="8"/>
      <c r="J32" s="8"/>
      <c r="K32" s="8"/>
      <c r="L32" s="8"/>
      <c r="M32" s="8"/>
      <c r="N32" s="8"/>
      <c r="O32" s="9"/>
    </row>
    <row r="33" spans="1:17" ht="21" x14ac:dyDescent="0.35">
      <c r="A33" s="22" t="s">
        <v>386</v>
      </c>
      <c r="B33" s="26"/>
      <c r="C33" s="26"/>
      <c r="D33" s="26"/>
      <c r="E33" s="8"/>
      <c r="F33" s="8"/>
      <c r="G33" s="8"/>
      <c r="H33" s="8"/>
      <c r="I33" s="8"/>
      <c r="J33" s="8"/>
      <c r="K33" s="8"/>
      <c r="L33" s="8"/>
      <c r="M33" s="8"/>
      <c r="N33" s="8"/>
      <c r="O33" s="9"/>
    </row>
    <row r="34" spans="1:17" ht="21" x14ac:dyDescent="0.35">
      <c r="A34" s="7"/>
      <c r="B34" s="24" t="s">
        <v>387</v>
      </c>
      <c r="C34" s="24"/>
      <c r="D34" s="24"/>
      <c r="E34" s="24"/>
      <c r="F34" s="24"/>
      <c r="G34" s="24"/>
      <c r="H34" s="24"/>
      <c r="I34" s="24"/>
      <c r="J34" s="25"/>
      <c r="K34" s="25"/>
      <c r="L34" s="8"/>
      <c r="M34" s="8"/>
      <c r="N34" s="8"/>
      <c r="O34" s="9"/>
    </row>
    <row r="35" spans="1:17" ht="21" x14ac:dyDescent="0.35">
      <c r="A35" s="7"/>
      <c r="B35" s="24" t="s">
        <v>382</v>
      </c>
      <c r="C35" s="24"/>
      <c r="D35" s="24"/>
      <c r="E35" s="24"/>
      <c r="F35" s="8"/>
      <c r="G35" s="8"/>
      <c r="H35" s="8"/>
      <c r="I35" s="8"/>
      <c r="J35" s="8"/>
      <c r="K35" s="8"/>
      <c r="L35" s="8"/>
      <c r="M35" s="8"/>
      <c r="N35" s="8"/>
      <c r="O35" s="9"/>
    </row>
    <row r="36" spans="1:17" x14ac:dyDescent="0.25">
      <c r="A36" s="13"/>
      <c r="B36" s="14"/>
      <c r="C36" s="14"/>
      <c r="D36" s="14"/>
      <c r="E36" s="14"/>
      <c r="F36" s="14"/>
      <c r="G36" s="14"/>
      <c r="H36" s="14"/>
      <c r="I36" s="14"/>
      <c r="J36" s="14"/>
      <c r="K36" s="14"/>
      <c r="L36" s="14"/>
      <c r="M36" s="14"/>
      <c r="N36" s="14"/>
      <c r="O36" s="15"/>
    </row>
    <row r="38" spans="1:17" ht="28.5" x14ac:dyDescent="0.45">
      <c r="A38" s="64" t="s">
        <v>404</v>
      </c>
      <c r="B38" s="65"/>
      <c r="C38" s="65"/>
      <c r="D38" s="65"/>
      <c r="E38" s="66"/>
    </row>
    <row r="39" spans="1:17" ht="21" x14ac:dyDescent="0.35">
      <c r="A39" s="53" t="s">
        <v>405</v>
      </c>
      <c r="B39" s="21"/>
      <c r="C39" s="21"/>
      <c r="D39" s="21"/>
      <c r="E39" s="21"/>
      <c r="F39" s="21"/>
      <c r="G39" s="21"/>
      <c r="H39" s="21"/>
      <c r="I39" s="21"/>
      <c r="J39" s="21"/>
      <c r="K39" s="21"/>
      <c r="L39" s="21"/>
      <c r="M39" s="2"/>
      <c r="N39" s="2"/>
      <c r="O39" s="2"/>
      <c r="P39" s="2"/>
      <c r="Q39" s="16"/>
    </row>
    <row r="40" spans="1:17" ht="21" x14ac:dyDescent="0.35">
      <c r="A40" s="17" t="s">
        <v>406</v>
      </c>
      <c r="B40" s="18"/>
      <c r="C40" s="18"/>
      <c r="D40" s="18"/>
      <c r="E40" s="18"/>
      <c r="F40" s="18"/>
      <c r="G40" s="18"/>
      <c r="H40" s="18"/>
      <c r="I40" s="18"/>
      <c r="J40" s="18"/>
      <c r="K40" s="18"/>
      <c r="L40" s="18"/>
      <c r="M40" s="8"/>
      <c r="N40" s="8"/>
      <c r="O40" s="8"/>
      <c r="P40" s="8"/>
      <c r="Q40" s="9"/>
    </row>
    <row r="41" spans="1:17" ht="21" x14ac:dyDescent="0.35">
      <c r="A41" s="17" t="s">
        <v>407</v>
      </c>
      <c r="B41" s="18"/>
      <c r="C41" s="18"/>
      <c r="D41" s="18"/>
      <c r="E41" s="18"/>
      <c r="F41" s="18"/>
      <c r="G41" s="18"/>
      <c r="H41" s="18"/>
      <c r="I41" s="18"/>
      <c r="J41" s="18"/>
      <c r="K41" s="18"/>
      <c r="L41" s="18"/>
      <c r="M41" s="8"/>
      <c r="N41" s="8"/>
      <c r="O41" s="8"/>
      <c r="P41" s="8"/>
      <c r="Q41" s="9"/>
    </row>
    <row r="42" spans="1:17" ht="21" x14ac:dyDescent="0.35">
      <c r="A42" s="17" t="s">
        <v>408</v>
      </c>
      <c r="B42" s="18"/>
      <c r="C42" s="18"/>
      <c r="D42" s="18"/>
      <c r="E42" s="18"/>
      <c r="F42" s="18"/>
      <c r="G42" s="18"/>
      <c r="H42" s="18"/>
      <c r="I42" s="18"/>
      <c r="J42" s="18"/>
      <c r="K42" s="18"/>
      <c r="L42" s="18"/>
      <c r="M42" s="8"/>
      <c r="N42" s="8"/>
      <c r="O42" s="8"/>
      <c r="P42" s="8"/>
      <c r="Q42" s="9"/>
    </row>
    <row r="43" spans="1:17" ht="21" x14ac:dyDescent="0.35">
      <c r="A43" s="17" t="s">
        <v>409</v>
      </c>
      <c r="B43" s="18"/>
      <c r="C43" s="18"/>
      <c r="D43" s="18"/>
      <c r="E43" s="18"/>
      <c r="F43" s="18"/>
      <c r="G43" s="18"/>
      <c r="H43" s="18"/>
      <c r="I43" s="18"/>
      <c r="J43" s="18"/>
      <c r="K43" s="18"/>
      <c r="L43" s="18"/>
      <c r="M43" s="8"/>
      <c r="N43" s="8"/>
      <c r="O43" s="8"/>
      <c r="P43" s="8"/>
      <c r="Q43" s="9"/>
    </row>
    <row r="44" spans="1:17" ht="21" x14ac:dyDescent="0.35">
      <c r="A44" s="17" t="s">
        <v>410</v>
      </c>
      <c r="B44" s="18"/>
      <c r="C44" s="18"/>
      <c r="D44" s="18"/>
      <c r="E44" s="18"/>
      <c r="F44" s="18"/>
      <c r="G44" s="18"/>
      <c r="H44" s="18"/>
      <c r="I44" s="18"/>
      <c r="J44" s="18"/>
      <c r="K44" s="18"/>
      <c r="L44" s="18"/>
      <c r="M44" s="8"/>
      <c r="N44" s="8"/>
      <c r="O44" s="8"/>
      <c r="P44" s="8"/>
      <c r="Q44" s="9"/>
    </row>
    <row r="45" spans="1:17" ht="21" x14ac:dyDescent="0.35">
      <c r="A45" s="54" t="s">
        <v>411</v>
      </c>
      <c r="B45" s="55"/>
      <c r="C45" s="55"/>
      <c r="D45" s="55"/>
      <c r="E45" s="55"/>
      <c r="F45" s="55"/>
      <c r="G45" s="55"/>
      <c r="H45" s="55"/>
      <c r="I45" s="55"/>
      <c r="J45" s="55"/>
      <c r="K45" s="55"/>
      <c r="L45" s="55"/>
      <c r="M45" s="14"/>
      <c r="N45" s="14"/>
      <c r="O45" s="14"/>
      <c r="P45" s="14"/>
      <c r="Q45" s="15"/>
    </row>
    <row r="47" spans="1:17" ht="28.5" x14ac:dyDescent="0.45">
      <c r="A47" s="61" t="s">
        <v>412</v>
      </c>
      <c r="B47" s="62"/>
      <c r="C47" s="62"/>
      <c r="D47" s="62"/>
      <c r="E47" s="63"/>
    </row>
    <row r="48" spans="1:17" ht="21" x14ac:dyDescent="0.35">
      <c r="A48" s="56" t="s">
        <v>413</v>
      </c>
      <c r="B48" s="2"/>
      <c r="C48" s="2"/>
      <c r="D48" s="2"/>
      <c r="E48" s="2"/>
      <c r="F48" s="2"/>
      <c r="G48" s="2"/>
      <c r="H48" s="2"/>
      <c r="I48" s="2"/>
      <c r="J48" s="2"/>
      <c r="K48" s="2"/>
      <c r="L48" s="2"/>
      <c r="M48" s="2"/>
      <c r="N48" s="2"/>
      <c r="O48" s="2"/>
      <c r="P48" s="16"/>
    </row>
    <row r="49" spans="1:16" ht="21" x14ac:dyDescent="0.35">
      <c r="A49" s="57" t="s">
        <v>414</v>
      </c>
      <c r="B49" s="8"/>
      <c r="C49" s="8"/>
      <c r="D49" s="8"/>
      <c r="E49" s="8"/>
      <c r="F49" s="8"/>
      <c r="G49" s="8"/>
      <c r="H49" s="8"/>
      <c r="I49" s="8"/>
      <c r="J49" s="8"/>
      <c r="K49" s="8"/>
      <c r="L49" s="8"/>
      <c r="M49" s="8"/>
      <c r="N49" s="8"/>
      <c r="O49" s="8"/>
      <c r="P49" s="9"/>
    </row>
    <row r="50" spans="1:16" ht="21" x14ac:dyDescent="0.35">
      <c r="A50" s="57" t="s">
        <v>415</v>
      </c>
      <c r="B50" s="8"/>
      <c r="C50" s="8"/>
      <c r="D50" s="8"/>
      <c r="E50" s="8"/>
      <c r="F50" s="8"/>
      <c r="G50" s="8"/>
      <c r="H50" s="8"/>
      <c r="I50" s="8"/>
      <c r="J50" s="8"/>
      <c r="K50" s="8"/>
      <c r="L50" s="8"/>
      <c r="M50" s="8"/>
      <c r="N50" s="8"/>
      <c r="O50" s="8"/>
      <c r="P50" s="9"/>
    </row>
    <row r="51" spans="1:16" ht="21" x14ac:dyDescent="0.35">
      <c r="A51" s="57" t="s">
        <v>416</v>
      </c>
      <c r="B51" s="8"/>
      <c r="C51" s="8"/>
      <c r="D51" s="8"/>
      <c r="E51" s="8"/>
      <c r="F51" s="8"/>
      <c r="G51" s="8"/>
      <c r="H51" s="8"/>
      <c r="I51" s="8"/>
      <c r="J51" s="8"/>
      <c r="K51" s="8"/>
      <c r="L51" s="8"/>
      <c r="M51" s="8"/>
      <c r="N51" s="8"/>
      <c r="O51" s="8"/>
      <c r="P51" s="9"/>
    </row>
    <row r="52" spans="1:16" ht="21" x14ac:dyDescent="0.35">
      <c r="A52" s="58" t="s">
        <v>417</v>
      </c>
      <c r="B52" s="14"/>
      <c r="C52" s="14"/>
      <c r="D52" s="14"/>
      <c r="E52" s="14"/>
      <c r="F52" s="14"/>
      <c r="G52" s="14"/>
      <c r="H52" s="14"/>
      <c r="I52" s="14"/>
      <c r="J52" s="14"/>
      <c r="K52" s="14"/>
      <c r="L52" s="14"/>
      <c r="M52" s="14"/>
      <c r="N52" s="14"/>
      <c r="O52" s="14"/>
      <c r="P52" s="15"/>
    </row>
    <row r="54" spans="1:16" ht="28.5" x14ac:dyDescent="0.45">
      <c r="A54" s="61" t="s">
        <v>418</v>
      </c>
      <c r="B54" s="62"/>
      <c r="C54" s="62"/>
      <c r="D54" s="62"/>
      <c r="E54" s="62"/>
      <c r="F54" s="63"/>
    </row>
    <row r="55" spans="1:16" ht="21" x14ac:dyDescent="0.35">
      <c r="A55" s="22" t="s">
        <v>419</v>
      </c>
      <c r="B55" s="18"/>
      <c r="C55" s="18"/>
      <c r="D55" s="18"/>
      <c r="E55" s="8"/>
      <c r="F55" s="9"/>
    </row>
    <row r="56" spans="1:16" ht="21" x14ac:dyDescent="0.35">
      <c r="A56" s="59" t="s">
        <v>420</v>
      </c>
      <c r="B56" s="18"/>
      <c r="C56" s="18"/>
      <c r="D56" s="18"/>
      <c r="E56" s="8"/>
      <c r="F56" s="9"/>
    </row>
    <row r="57" spans="1:16" ht="21" x14ac:dyDescent="0.35">
      <c r="A57" s="22" t="s">
        <v>421</v>
      </c>
      <c r="B57" s="18"/>
      <c r="C57" s="18"/>
      <c r="D57" s="18"/>
      <c r="E57" s="8"/>
      <c r="F57" s="9"/>
    </row>
    <row r="58" spans="1:16" ht="21" x14ac:dyDescent="0.35">
      <c r="A58" s="59" t="s">
        <v>422</v>
      </c>
      <c r="B58" s="18"/>
      <c r="C58" s="18"/>
      <c r="D58" s="18"/>
      <c r="E58" s="8"/>
      <c r="F58" s="9"/>
    </row>
    <row r="59" spans="1:16" ht="21" x14ac:dyDescent="0.35">
      <c r="A59" s="59" t="s">
        <v>423</v>
      </c>
      <c r="B59" s="18"/>
      <c r="C59" s="18"/>
      <c r="D59" s="18"/>
      <c r="E59" s="8"/>
      <c r="F59" s="9"/>
    </row>
    <row r="60" spans="1:16" ht="21" x14ac:dyDescent="0.35">
      <c r="A60" s="59" t="s">
        <v>424</v>
      </c>
      <c r="B60" s="18"/>
      <c r="C60" s="18"/>
      <c r="D60" s="18"/>
      <c r="E60" s="8"/>
      <c r="F60" s="9"/>
    </row>
    <row r="61" spans="1:16" ht="21" x14ac:dyDescent="0.35">
      <c r="A61" s="59" t="s">
        <v>425</v>
      </c>
      <c r="B61" s="18"/>
      <c r="C61" s="18"/>
      <c r="D61" s="18"/>
      <c r="E61" s="8"/>
      <c r="F61" s="9"/>
    </row>
    <row r="62" spans="1:16" ht="21" x14ac:dyDescent="0.35">
      <c r="A62" s="59" t="s">
        <v>426</v>
      </c>
      <c r="B62" s="18"/>
      <c r="C62" s="18"/>
      <c r="D62" s="18"/>
      <c r="E62" s="8"/>
      <c r="F62" s="9"/>
    </row>
    <row r="63" spans="1:16" ht="21" x14ac:dyDescent="0.35">
      <c r="A63" s="59" t="s">
        <v>427</v>
      </c>
      <c r="B63" s="18"/>
      <c r="C63" s="18"/>
      <c r="D63" s="18"/>
      <c r="E63" s="8"/>
      <c r="F63" s="9"/>
    </row>
    <row r="64" spans="1:16" ht="21" x14ac:dyDescent="0.35">
      <c r="A64" s="60" t="s">
        <v>428</v>
      </c>
      <c r="B64" s="55"/>
      <c r="C64" s="55"/>
      <c r="D64" s="55"/>
      <c r="E64" s="14"/>
      <c r="F64" s="15"/>
    </row>
  </sheetData>
  <mergeCells count="7">
    <mergeCell ref="A47:E47"/>
    <mergeCell ref="A54:F54"/>
    <mergeCell ref="A3:E3"/>
    <mergeCell ref="A1:O1"/>
    <mergeCell ref="A10:E10"/>
    <mergeCell ref="A16:E16"/>
    <mergeCell ref="A38:E3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7"/>
  <sheetViews>
    <sheetView showGridLines="0" workbookViewId="0"/>
  </sheetViews>
  <sheetFormatPr defaultRowHeight="15" x14ac:dyDescent="0.25"/>
  <cols>
    <col min="1" max="1" width="22.85546875" customWidth="1"/>
    <col min="2" max="2" width="59.5703125" hidden="1" customWidth="1"/>
    <col min="3" max="3" width="65" hidden="1" customWidth="1"/>
    <col min="4" max="4" width="22.7109375" customWidth="1"/>
    <col min="5" max="5" width="19.5703125" customWidth="1"/>
    <col min="6" max="6" width="25.140625" customWidth="1"/>
    <col min="7" max="7" width="35.85546875" bestFit="1" customWidth="1"/>
    <col min="8" max="8" width="68.5703125" hidden="1" customWidth="1"/>
    <col min="9" max="9" width="74" hidden="1" customWidth="1"/>
    <col min="10" max="10" width="148" hidden="1" customWidth="1"/>
    <col min="11" max="11" width="7.140625" customWidth="1"/>
    <col min="12" max="12" width="10.85546875" bestFit="1" customWidth="1"/>
    <col min="13" max="13" width="12.7109375" hidden="1" customWidth="1"/>
    <col min="14" max="14" width="10" hidden="1" customWidth="1"/>
  </cols>
  <sheetData>
    <row r="1" spans="1:18" x14ac:dyDescent="0.25">
      <c r="A1" s="3" t="s">
        <v>0</v>
      </c>
      <c r="B1" s="1" t="s">
        <v>1</v>
      </c>
      <c r="C1" s="1" t="s">
        <v>2</v>
      </c>
      <c r="D1" s="3" t="s">
        <v>3</v>
      </c>
      <c r="E1" s="3" t="s">
        <v>4</v>
      </c>
      <c r="F1" s="3" t="s">
        <v>5</v>
      </c>
      <c r="G1" s="3" t="s">
        <v>6</v>
      </c>
      <c r="H1" s="1" t="s">
        <v>7</v>
      </c>
      <c r="I1" s="1" t="s">
        <v>8</v>
      </c>
      <c r="J1" s="1" t="s">
        <v>9</v>
      </c>
      <c r="K1" s="3" t="s">
        <v>10</v>
      </c>
      <c r="L1" s="3" t="s">
        <v>11</v>
      </c>
      <c r="M1" s="1" t="s">
        <v>12</v>
      </c>
      <c r="N1" s="1" t="s">
        <v>13</v>
      </c>
    </row>
    <row r="2" spans="1:18" x14ac:dyDescent="0.25">
      <c r="A2" t="s">
        <v>14</v>
      </c>
      <c r="B2" t="s">
        <v>15</v>
      </c>
      <c r="C2" t="s">
        <v>16</v>
      </c>
      <c r="D2" t="s">
        <v>17</v>
      </c>
      <c r="E2" t="s">
        <v>18</v>
      </c>
      <c r="F2" t="s">
        <v>19</v>
      </c>
      <c r="G2" t="s">
        <v>20</v>
      </c>
      <c r="H2" t="s">
        <v>20</v>
      </c>
      <c r="I2" t="s">
        <v>21</v>
      </c>
      <c r="J2" t="s">
        <v>22</v>
      </c>
      <c r="K2">
        <v>2024</v>
      </c>
      <c r="L2" t="s">
        <v>23</v>
      </c>
      <c r="M2">
        <v>8</v>
      </c>
      <c r="N2">
        <v>3</v>
      </c>
      <c r="P2" s="70" t="s">
        <v>361</v>
      </c>
      <c r="Q2" s="70"/>
      <c r="R2" s="70"/>
    </row>
    <row r="3" spans="1:18" x14ac:dyDescent="0.25">
      <c r="A3" t="s">
        <v>24</v>
      </c>
      <c r="B3" t="s">
        <v>25</v>
      </c>
      <c r="C3" t="s">
        <v>26</v>
      </c>
      <c r="D3" t="s">
        <v>27</v>
      </c>
      <c r="E3" t="s">
        <v>28</v>
      </c>
      <c r="F3" t="s">
        <v>29</v>
      </c>
      <c r="G3" t="s">
        <v>30</v>
      </c>
      <c r="H3" t="s">
        <v>31</v>
      </c>
      <c r="I3" t="s">
        <v>21</v>
      </c>
      <c r="J3" t="s">
        <v>32</v>
      </c>
      <c r="K3">
        <v>2024</v>
      </c>
      <c r="L3" t="s">
        <v>23</v>
      </c>
      <c r="M3">
        <v>8</v>
      </c>
      <c r="N3">
        <v>3</v>
      </c>
      <c r="P3" s="4" t="s">
        <v>0</v>
      </c>
      <c r="Q3" s="5"/>
      <c r="R3" s="6"/>
    </row>
    <row r="4" spans="1:18" x14ac:dyDescent="0.25">
      <c r="A4" t="s">
        <v>33</v>
      </c>
      <c r="B4" t="s">
        <v>34</v>
      </c>
      <c r="C4" t="s">
        <v>35</v>
      </c>
      <c r="D4" t="s">
        <v>27</v>
      </c>
      <c r="E4" t="s">
        <v>36</v>
      </c>
      <c r="F4" t="s">
        <v>19</v>
      </c>
      <c r="G4" t="s">
        <v>37</v>
      </c>
      <c r="H4" t="s">
        <v>38</v>
      </c>
      <c r="I4" t="s">
        <v>39</v>
      </c>
      <c r="J4" t="s">
        <v>40</v>
      </c>
      <c r="K4">
        <v>2024</v>
      </c>
      <c r="L4" t="s">
        <v>41</v>
      </c>
      <c r="M4">
        <v>7</v>
      </c>
      <c r="N4">
        <v>3</v>
      </c>
      <c r="P4" s="7" t="s">
        <v>1</v>
      </c>
      <c r="Q4" s="8"/>
      <c r="R4" s="9"/>
    </row>
    <row r="5" spans="1:18" x14ac:dyDescent="0.25">
      <c r="A5" t="s">
        <v>42</v>
      </c>
      <c r="B5" t="s">
        <v>43</v>
      </c>
      <c r="C5" t="s">
        <v>44</v>
      </c>
      <c r="D5" t="s">
        <v>17</v>
      </c>
      <c r="E5" t="s">
        <v>45</v>
      </c>
      <c r="F5" t="s">
        <v>19</v>
      </c>
      <c r="G5" t="s">
        <v>46</v>
      </c>
      <c r="H5" t="s">
        <v>47</v>
      </c>
      <c r="I5" t="s">
        <v>48</v>
      </c>
      <c r="J5" t="s">
        <v>49</v>
      </c>
      <c r="K5">
        <v>2024</v>
      </c>
      <c r="L5" t="s">
        <v>50</v>
      </c>
      <c r="M5">
        <v>6</v>
      </c>
      <c r="N5">
        <v>2</v>
      </c>
      <c r="P5" s="7" t="s">
        <v>2</v>
      </c>
      <c r="Q5" s="8"/>
      <c r="R5" s="9"/>
    </row>
    <row r="6" spans="1:18" x14ac:dyDescent="0.25">
      <c r="A6" t="s">
        <v>51</v>
      </c>
      <c r="B6" t="s">
        <v>52</v>
      </c>
      <c r="C6" t="s">
        <v>53</v>
      </c>
      <c r="D6" t="s">
        <v>27</v>
      </c>
      <c r="E6" t="s">
        <v>399</v>
      </c>
      <c r="F6" t="s">
        <v>19</v>
      </c>
      <c r="G6" t="s">
        <v>47</v>
      </c>
      <c r="H6" t="s">
        <v>54</v>
      </c>
      <c r="I6" t="s">
        <v>55</v>
      </c>
      <c r="J6" t="s">
        <v>56</v>
      </c>
      <c r="K6">
        <v>2024</v>
      </c>
      <c r="L6" t="s">
        <v>50</v>
      </c>
      <c r="M6">
        <v>6</v>
      </c>
      <c r="N6">
        <v>2</v>
      </c>
      <c r="P6" s="10" t="s">
        <v>3</v>
      </c>
      <c r="Q6" s="11"/>
      <c r="R6" s="12"/>
    </row>
    <row r="7" spans="1:18" x14ac:dyDescent="0.25">
      <c r="A7" t="s">
        <v>57</v>
      </c>
      <c r="B7" t="s">
        <v>58</v>
      </c>
      <c r="C7" t="s">
        <v>59</v>
      </c>
      <c r="D7" t="s">
        <v>17</v>
      </c>
      <c r="E7" t="s">
        <v>60</v>
      </c>
      <c r="F7" t="s">
        <v>29</v>
      </c>
      <c r="G7" t="s">
        <v>61</v>
      </c>
      <c r="H7" t="s">
        <v>62</v>
      </c>
      <c r="I7" t="s">
        <v>63</v>
      </c>
      <c r="J7" t="s">
        <v>64</v>
      </c>
      <c r="K7">
        <v>2024</v>
      </c>
      <c r="L7" t="s">
        <v>50</v>
      </c>
      <c r="M7">
        <v>6</v>
      </c>
      <c r="N7">
        <v>2</v>
      </c>
      <c r="P7" s="10" t="s">
        <v>4</v>
      </c>
      <c r="Q7" s="11"/>
      <c r="R7" s="12"/>
    </row>
    <row r="8" spans="1:18" x14ac:dyDescent="0.25">
      <c r="A8" t="s">
        <v>65</v>
      </c>
      <c r="B8" t="s">
        <v>66</v>
      </c>
      <c r="C8" t="s">
        <v>67</v>
      </c>
      <c r="D8" t="s">
        <v>17</v>
      </c>
      <c r="E8" t="s">
        <v>68</v>
      </c>
      <c r="F8" t="s">
        <v>29</v>
      </c>
      <c r="G8" t="s">
        <v>30</v>
      </c>
      <c r="H8" t="s">
        <v>69</v>
      </c>
      <c r="I8" t="s">
        <v>21</v>
      </c>
      <c r="J8" t="s">
        <v>70</v>
      </c>
      <c r="K8">
        <v>2024</v>
      </c>
      <c r="L8" t="s">
        <v>71</v>
      </c>
      <c r="M8">
        <v>5</v>
      </c>
      <c r="N8">
        <v>2</v>
      </c>
      <c r="P8" s="10" t="s">
        <v>5</v>
      </c>
      <c r="Q8" s="11"/>
      <c r="R8" s="12"/>
    </row>
    <row r="9" spans="1:18" x14ac:dyDescent="0.25">
      <c r="A9" t="s">
        <v>72</v>
      </c>
      <c r="B9" t="s">
        <v>73</v>
      </c>
      <c r="C9" t="s">
        <v>74</v>
      </c>
      <c r="D9" t="s">
        <v>75</v>
      </c>
      <c r="E9" t="s">
        <v>399</v>
      </c>
      <c r="F9" t="s">
        <v>29</v>
      </c>
      <c r="G9" t="s">
        <v>76</v>
      </c>
      <c r="H9" t="s">
        <v>31</v>
      </c>
      <c r="I9" t="s">
        <v>77</v>
      </c>
      <c r="J9" t="s">
        <v>78</v>
      </c>
      <c r="K9">
        <v>2024</v>
      </c>
      <c r="L9" t="s">
        <v>79</v>
      </c>
      <c r="M9">
        <v>4</v>
      </c>
      <c r="N9">
        <v>2</v>
      </c>
      <c r="P9" s="10" t="s">
        <v>6</v>
      </c>
      <c r="Q9" s="11"/>
      <c r="R9" s="12"/>
    </row>
    <row r="10" spans="1:18" x14ac:dyDescent="0.25">
      <c r="A10" t="s">
        <v>80</v>
      </c>
      <c r="B10" t="s">
        <v>81</v>
      </c>
      <c r="C10" t="s">
        <v>82</v>
      </c>
      <c r="D10" t="s">
        <v>17</v>
      </c>
      <c r="E10" t="s">
        <v>83</v>
      </c>
      <c r="F10" t="s">
        <v>29</v>
      </c>
      <c r="G10" t="s">
        <v>30</v>
      </c>
      <c r="H10" t="s">
        <v>31</v>
      </c>
      <c r="I10" t="s">
        <v>39</v>
      </c>
      <c r="J10" t="s">
        <v>84</v>
      </c>
      <c r="K10">
        <v>2024</v>
      </c>
      <c r="L10" t="s">
        <v>79</v>
      </c>
      <c r="M10">
        <v>4</v>
      </c>
      <c r="N10">
        <v>2</v>
      </c>
      <c r="P10" s="7" t="s">
        <v>7</v>
      </c>
      <c r="Q10" s="8"/>
      <c r="R10" s="9"/>
    </row>
    <row r="11" spans="1:18" x14ac:dyDescent="0.25">
      <c r="A11" t="s">
        <v>85</v>
      </c>
      <c r="B11" t="s">
        <v>86</v>
      </c>
      <c r="C11" t="s">
        <v>87</v>
      </c>
      <c r="D11" t="s">
        <v>17</v>
      </c>
      <c r="E11" t="s">
        <v>88</v>
      </c>
      <c r="F11" t="s">
        <v>19</v>
      </c>
      <c r="G11" t="s">
        <v>89</v>
      </c>
      <c r="H11" t="s">
        <v>90</v>
      </c>
      <c r="I11" t="s">
        <v>91</v>
      </c>
      <c r="J11" t="s">
        <v>92</v>
      </c>
      <c r="K11">
        <v>2024</v>
      </c>
      <c r="L11" t="s">
        <v>93</v>
      </c>
      <c r="M11">
        <v>3</v>
      </c>
      <c r="N11">
        <v>1</v>
      </c>
      <c r="P11" s="7" t="s">
        <v>8</v>
      </c>
      <c r="Q11" s="8"/>
      <c r="R11" s="9"/>
    </row>
    <row r="12" spans="1:18" x14ac:dyDescent="0.25">
      <c r="A12" t="s">
        <v>94</v>
      </c>
      <c r="B12" t="s">
        <v>95</v>
      </c>
      <c r="C12" t="s">
        <v>96</v>
      </c>
      <c r="D12" t="s">
        <v>17</v>
      </c>
      <c r="E12" t="s">
        <v>97</v>
      </c>
      <c r="F12" t="s">
        <v>29</v>
      </c>
      <c r="G12" t="s">
        <v>30</v>
      </c>
      <c r="H12" t="s">
        <v>31</v>
      </c>
      <c r="I12" t="s">
        <v>39</v>
      </c>
      <c r="J12" t="s">
        <v>98</v>
      </c>
      <c r="K12">
        <v>2024</v>
      </c>
      <c r="L12" t="s">
        <v>99</v>
      </c>
      <c r="M12">
        <v>2</v>
      </c>
      <c r="N12">
        <v>1</v>
      </c>
      <c r="P12" s="7" t="s">
        <v>9</v>
      </c>
      <c r="Q12" s="8"/>
      <c r="R12" s="9"/>
    </row>
    <row r="13" spans="1:18" x14ac:dyDescent="0.25">
      <c r="A13" t="s">
        <v>100</v>
      </c>
      <c r="B13" t="s">
        <v>101</v>
      </c>
      <c r="C13" t="s">
        <v>102</v>
      </c>
      <c r="D13" t="s">
        <v>17</v>
      </c>
      <c r="E13" t="s">
        <v>103</v>
      </c>
      <c r="F13" t="s">
        <v>19</v>
      </c>
      <c r="G13" t="s">
        <v>104</v>
      </c>
      <c r="H13" t="s">
        <v>90</v>
      </c>
      <c r="I13" t="s">
        <v>105</v>
      </c>
      <c r="J13" t="s">
        <v>106</v>
      </c>
      <c r="K13">
        <v>2024</v>
      </c>
      <c r="L13" t="s">
        <v>99</v>
      </c>
      <c r="M13">
        <v>2</v>
      </c>
      <c r="N13">
        <v>1</v>
      </c>
      <c r="P13" s="10" t="s">
        <v>10</v>
      </c>
      <c r="Q13" s="11"/>
      <c r="R13" s="9"/>
    </row>
    <row r="14" spans="1:18" x14ac:dyDescent="0.25">
      <c r="A14" t="s">
        <v>107</v>
      </c>
      <c r="B14" t="s">
        <v>108</v>
      </c>
      <c r="C14" t="s">
        <v>109</v>
      </c>
      <c r="D14" t="s">
        <v>17</v>
      </c>
      <c r="E14" t="s">
        <v>97</v>
      </c>
      <c r="F14" t="s">
        <v>29</v>
      </c>
      <c r="G14" t="s">
        <v>30</v>
      </c>
      <c r="H14" t="s">
        <v>31</v>
      </c>
      <c r="I14" t="s">
        <v>39</v>
      </c>
      <c r="J14" t="s">
        <v>110</v>
      </c>
      <c r="K14">
        <v>2024</v>
      </c>
      <c r="L14" t="s">
        <v>99</v>
      </c>
      <c r="M14">
        <v>2</v>
      </c>
      <c r="N14">
        <v>1</v>
      </c>
      <c r="P14" s="10" t="s">
        <v>11</v>
      </c>
      <c r="Q14" s="11"/>
      <c r="R14" s="9"/>
    </row>
    <row r="15" spans="1:18" x14ac:dyDescent="0.25">
      <c r="A15" t="s">
        <v>111</v>
      </c>
      <c r="B15" t="s">
        <v>112</v>
      </c>
      <c r="C15" t="s">
        <v>113</v>
      </c>
      <c r="D15" t="s">
        <v>75</v>
      </c>
      <c r="E15" t="s">
        <v>114</v>
      </c>
      <c r="F15" t="s">
        <v>29</v>
      </c>
      <c r="G15" t="s">
        <v>30</v>
      </c>
      <c r="H15" t="s">
        <v>69</v>
      </c>
      <c r="I15" t="s">
        <v>115</v>
      </c>
      <c r="J15" t="s">
        <v>116</v>
      </c>
      <c r="K15">
        <v>2023</v>
      </c>
      <c r="L15" t="s">
        <v>117</v>
      </c>
      <c r="M15">
        <v>12</v>
      </c>
      <c r="N15">
        <v>4</v>
      </c>
      <c r="P15" s="7" t="s">
        <v>12</v>
      </c>
      <c r="Q15" s="8"/>
      <c r="R15" s="9"/>
    </row>
    <row r="16" spans="1:18" x14ac:dyDescent="0.25">
      <c r="A16" t="s">
        <v>118</v>
      </c>
      <c r="B16" t="s">
        <v>119</v>
      </c>
      <c r="C16" t="s">
        <v>120</v>
      </c>
      <c r="D16" t="s">
        <v>17</v>
      </c>
      <c r="E16" t="s">
        <v>121</v>
      </c>
      <c r="F16" t="s">
        <v>19</v>
      </c>
      <c r="G16" t="s">
        <v>122</v>
      </c>
      <c r="H16" t="s">
        <v>123</v>
      </c>
      <c r="I16" t="s">
        <v>124</v>
      </c>
      <c r="J16" t="s">
        <v>125</v>
      </c>
      <c r="K16">
        <v>2023</v>
      </c>
      <c r="L16" t="s">
        <v>117</v>
      </c>
      <c r="M16">
        <v>12</v>
      </c>
      <c r="N16">
        <v>4</v>
      </c>
      <c r="P16" s="13" t="s">
        <v>13</v>
      </c>
      <c r="Q16" s="14"/>
      <c r="R16" s="15"/>
    </row>
    <row r="17" spans="1:14" x14ac:dyDescent="0.25">
      <c r="A17" t="s">
        <v>126</v>
      </c>
      <c r="B17" t="s">
        <v>127</v>
      </c>
      <c r="C17" t="s">
        <v>128</v>
      </c>
      <c r="D17" t="s">
        <v>17</v>
      </c>
      <c r="E17" t="s">
        <v>60</v>
      </c>
      <c r="F17" t="s">
        <v>29</v>
      </c>
      <c r="G17" t="s">
        <v>129</v>
      </c>
      <c r="H17" t="s">
        <v>62</v>
      </c>
      <c r="I17" t="s">
        <v>21</v>
      </c>
      <c r="J17" t="s">
        <v>130</v>
      </c>
      <c r="K17">
        <v>2023</v>
      </c>
      <c r="L17" t="s">
        <v>117</v>
      </c>
      <c r="M17">
        <v>12</v>
      </c>
      <c r="N17">
        <v>4</v>
      </c>
    </row>
    <row r="18" spans="1:14" x14ac:dyDescent="0.25">
      <c r="A18" t="s">
        <v>131</v>
      </c>
      <c r="B18" t="s">
        <v>132</v>
      </c>
      <c r="C18" t="s">
        <v>133</v>
      </c>
      <c r="D18" t="s">
        <v>17</v>
      </c>
      <c r="E18" t="s">
        <v>134</v>
      </c>
      <c r="F18" t="s">
        <v>29</v>
      </c>
      <c r="G18" t="s">
        <v>30</v>
      </c>
      <c r="H18" t="s">
        <v>69</v>
      </c>
      <c r="I18" t="s">
        <v>39</v>
      </c>
      <c r="J18" t="s">
        <v>135</v>
      </c>
      <c r="K18">
        <v>2023</v>
      </c>
      <c r="L18" t="s">
        <v>117</v>
      </c>
      <c r="M18">
        <v>12</v>
      </c>
      <c r="N18">
        <v>4</v>
      </c>
    </row>
    <row r="19" spans="1:14" x14ac:dyDescent="0.25">
      <c r="A19" t="s">
        <v>136</v>
      </c>
      <c r="B19" t="s">
        <v>95</v>
      </c>
      <c r="C19" t="s">
        <v>137</v>
      </c>
      <c r="D19" t="s">
        <v>17</v>
      </c>
      <c r="E19" t="s">
        <v>83</v>
      </c>
      <c r="F19" t="s">
        <v>29</v>
      </c>
      <c r="G19" t="s">
        <v>30</v>
      </c>
      <c r="H19" t="s">
        <v>138</v>
      </c>
      <c r="I19" t="s">
        <v>39</v>
      </c>
      <c r="J19" t="s">
        <v>139</v>
      </c>
      <c r="K19">
        <v>2023</v>
      </c>
      <c r="L19" t="s">
        <v>140</v>
      </c>
      <c r="M19">
        <v>10</v>
      </c>
      <c r="N19">
        <v>4</v>
      </c>
    </row>
    <row r="20" spans="1:14" x14ac:dyDescent="0.25">
      <c r="A20" t="s">
        <v>141</v>
      </c>
      <c r="B20" t="s">
        <v>142</v>
      </c>
      <c r="C20" t="s">
        <v>143</v>
      </c>
      <c r="D20" t="s">
        <v>75</v>
      </c>
      <c r="E20" t="s">
        <v>36</v>
      </c>
      <c r="F20" t="s">
        <v>29</v>
      </c>
      <c r="G20" t="s">
        <v>61</v>
      </c>
      <c r="H20" t="s">
        <v>62</v>
      </c>
      <c r="I20" t="s">
        <v>115</v>
      </c>
      <c r="J20" t="s">
        <v>144</v>
      </c>
      <c r="K20">
        <v>2023</v>
      </c>
      <c r="L20" t="s">
        <v>145</v>
      </c>
      <c r="M20">
        <v>9</v>
      </c>
      <c r="N20">
        <v>3</v>
      </c>
    </row>
    <row r="21" spans="1:14" x14ac:dyDescent="0.25">
      <c r="A21" t="s">
        <v>146</v>
      </c>
      <c r="B21" t="s">
        <v>147</v>
      </c>
      <c r="C21" t="s">
        <v>148</v>
      </c>
      <c r="D21" t="s">
        <v>17</v>
      </c>
      <c r="E21" t="s">
        <v>68</v>
      </c>
      <c r="F21" t="s">
        <v>19</v>
      </c>
      <c r="G21" t="s">
        <v>61</v>
      </c>
      <c r="H21" t="s">
        <v>149</v>
      </c>
      <c r="I21" t="s">
        <v>150</v>
      </c>
      <c r="J21" t="s">
        <v>151</v>
      </c>
      <c r="K21">
        <v>2023</v>
      </c>
      <c r="L21" t="s">
        <v>41</v>
      </c>
      <c r="M21">
        <v>7</v>
      </c>
      <c r="N21">
        <v>3</v>
      </c>
    </row>
    <row r="22" spans="1:14" x14ac:dyDescent="0.25">
      <c r="A22" t="s">
        <v>152</v>
      </c>
      <c r="B22" t="s">
        <v>153</v>
      </c>
      <c r="C22" t="s">
        <v>154</v>
      </c>
      <c r="D22" t="s">
        <v>17</v>
      </c>
      <c r="E22" t="s">
        <v>155</v>
      </c>
      <c r="F22" t="s">
        <v>19</v>
      </c>
      <c r="G22" t="s">
        <v>30</v>
      </c>
      <c r="H22" t="s">
        <v>69</v>
      </c>
      <c r="I22" t="s">
        <v>39</v>
      </c>
      <c r="J22" t="s">
        <v>156</v>
      </c>
      <c r="K22">
        <v>2023</v>
      </c>
      <c r="L22" t="s">
        <v>41</v>
      </c>
      <c r="M22">
        <v>7</v>
      </c>
      <c r="N22">
        <v>3</v>
      </c>
    </row>
    <row r="23" spans="1:14" x14ac:dyDescent="0.25">
      <c r="A23" t="s">
        <v>157</v>
      </c>
      <c r="B23" t="s">
        <v>158</v>
      </c>
      <c r="C23" t="s">
        <v>159</v>
      </c>
      <c r="D23" t="s">
        <v>27</v>
      </c>
      <c r="E23" t="s">
        <v>399</v>
      </c>
      <c r="F23" t="s">
        <v>19</v>
      </c>
      <c r="G23" t="s">
        <v>61</v>
      </c>
      <c r="H23" t="s">
        <v>62</v>
      </c>
      <c r="I23" t="s">
        <v>150</v>
      </c>
      <c r="J23" t="s">
        <v>160</v>
      </c>
      <c r="K23">
        <v>2023</v>
      </c>
      <c r="L23" t="s">
        <v>50</v>
      </c>
      <c r="M23">
        <v>6</v>
      </c>
      <c r="N23">
        <v>2</v>
      </c>
    </row>
    <row r="24" spans="1:14" x14ac:dyDescent="0.25">
      <c r="A24" t="s">
        <v>161</v>
      </c>
      <c r="B24" t="s">
        <v>162</v>
      </c>
      <c r="C24" t="s">
        <v>163</v>
      </c>
      <c r="D24" t="s">
        <v>17</v>
      </c>
      <c r="E24" t="s">
        <v>45</v>
      </c>
      <c r="F24" t="s">
        <v>29</v>
      </c>
      <c r="G24" t="s">
        <v>30</v>
      </c>
      <c r="H24" t="s">
        <v>164</v>
      </c>
      <c r="I24" t="s">
        <v>39</v>
      </c>
      <c r="J24" t="s">
        <v>165</v>
      </c>
      <c r="K24">
        <v>2023</v>
      </c>
      <c r="L24" t="s">
        <v>71</v>
      </c>
      <c r="M24">
        <v>5</v>
      </c>
      <c r="N24">
        <v>2</v>
      </c>
    </row>
    <row r="25" spans="1:14" x14ac:dyDescent="0.25">
      <c r="A25" t="s">
        <v>166</v>
      </c>
      <c r="B25" t="s">
        <v>167</v>
      </c>
      <c r="C25" t="s">
        <v>168</v>
      </c>
      <c r="D25" t="s">
        <v>17</v>
      </c>
      <c r="E25" t="s">
        <v>169</v>
      </c>
      <c r="F25" t="s">
        <v>29</v>
      </c>
      <c r="G25" t="s">
        <v>170</v>
      </c>
      <c r="H25" t="s">
        <v>171</v>
      </c>
      <c r="I25" t="s">
        <v>172</v>
      </c>
      <c r="J25" t="s">
        <v>173</v>
      </c>
      <c r="K25">
        <v>2023</v>
      </c>
      <c r="L25" t="s">
        <v>79</v>
      </c>
      <c r="M25">
        <v>4</v>
      </c>
      <c r="N25">
        <v>2</v>
      </c>
    </row>
    <row r="26" spans="1:14" x14ac:dyDescent="0.25">
      <c r="A26" t="s">
        <v>174</v>
      </c>
      <c r="B26" t="s">
        <v>175</v>
      </c>
      <c r="C26" t="s">
        <v>176</v>
      </c>
      <c r="D26" t="s">
        <v>17</v>
      </c>
      <c r="E26" t="s">
        <v>68</v>
      </c>
      <c r="F26" t="s">
        <v>19</v>
      </c>
      <c r="G26" t="s">
        <v>122</v>
      </c>
      <c r="H26" t="s">
        <v>123</v>
      </c>
      <c r="I26" t="s">
        <v>177</v>
      </c>
      <c r="J26" t="s">
        <v>178</v>
      </c>
      <c r="K26">
        <v>2023</v>
      </c>
      <c r="L26" t="s">
        <v>93</v>
      </c>
      <c r="M26">
        <v>3</v>
      </c>
      <c r="N26">
        <v>1</v>
      </c>
    </row>
    <row r="27" spans="1:14" x14ac:dyDescent="0.25">
      <c r="A27" t="s">
        <v>179</v>
      </c>
      <c r="B27" t="s">
        <v>180</v>
      </c>
      <c r="C27" t="s">
        <v>102</v>
      </c>
      <c r="D27" t="s">
        <v>17</v>
      </c>
      <c r="E27" t="s">
        <v>103</v>
      </c>
      <c r="F27" t="s">
        <v>29</v>
      </c>
      <c r="G27" t="s">
        <v>30</v>
      </c>
      <c r="H27" t="s">
        <v>181</v>
      </c>
      <c r="I27" t="s">
        <v>182</v>
      </c>
      <c r="J27" t="s">
        <v>183</v>
      </c>
      <c r="K27">
        <v>2023</v>
      </c>
      <c r="L27" t="s">
        <v>93</v>
      </c>
      <c r="M27">
        <v>3</v>
      </c>
      <c r="N27">
        <v>1</v>
      </c>
    </row>
    <row r="28" spans="1:14" x14ac:dyDescent="0.25">
      <c r="A28" t="s">
        <v>184</v>
      </c>
      <c r="B28" t="s">
        <v>185</v>
      </c>
      <c r="C28" t="s">
        <v>186</v>
      </c>
      <c r="D28" t="s">
        <v>17</v>
      </c>
      <c r="E28" t="s">
        <v>169</v>
      </c>
      <c r="F28" t="s">
        <v>29</v>
      </c>
      <c r="G28" t="s">
        <v>30</v>
      </c>
      <c r="H28" t="s">
        <v>69</v>
      </c>
      <c r="I28" t="s">
        <v>39</v>
      </c>
      <c r="J28" t="s">
        <v>187</v>
      </c>
      <c r="K28">
        <v>2023</v>
      </c>
      <c r="L28" t="s">
        <v>93</v>
      </c>
      <c r="M28">
        <v>3</v>
      </c>
      <c r="N28">
        <v>1</v>
      </c>
    </row>
    <row r="29" spans="1:14" x14ac:dyDescent="0.25">
      <c r="A29" t="s">
        <v>188</v>
      </c>
      <c r="B29" t="s">
        <v>189</v>
      </c>
      <c r="C29" t="s">
        <v>190</v>
      </c>
      <c r="D29" t="s">
        <v>17</v>
      </c>
      <c r="E29" t="s">
        <v>134</v>
      </c>
      <c r="F29" t="s">
        <v>29</v>
      </c>
      <c r="G29" t="s">
        <v>61</v>
      </c>
      <c r="H29" t="s">
        <v>191</v>
      </c>
      <c r="I29" t="s">
        <v>192</v>
      </c>
      <c r="J29" t="s">
        <v>193</v>
      </c>
      <c r="K29">
        <v>2023</v>
      </c>
      <c r="L29" t="s">
        <v>93</v>
      </c>
      <c r="M29">
        <v>3</v>
      </c>
      <c r="N29">
        <v>1</v>
      </c>
    </row>
    <row r="30" spans="1:14" x14ac:dyDescent="0.25">
      <c r="A30" t="s">
        <v>194</v>
      </c>
      <c r="B30" t="s">
        <v>195</v>
      </c>
      <c r="C30" t="s">
        <v>196</v>
      </c>
      <c r="D30" t="s">
        <v>17</v>
      </c>
      <c r="E30" t="s">
        <v>197</v>
      </c>
      <c r="F30" t="s">
        <v>29</v>
      </c>
      <c r="G30" t="s">
        <v>30</v>
      </c>
      <c r="H30" t="s">
        <v>69</v>
      </c>
      <c r="I30" t="s">
        <v>39</v>
      </c>
      <c r="J30" t="s">
        <v>198</v>
      </c>
      <c r="K30">
        <v>2022</v>
      </c>
      <c r="L30" t="s">
        <v>117</v>
      </c>
      <c r="M30">
        <v>12</v>
      </c>
      <c r="N30">
        <v>4</v>
      </c>
    </row>
    <row r="31" spans="1:14" x14ac:dyDescent="0.25">
      <c r="A31" t="s">
        <v>199</v>
      </c>
      <c r="B31" t="s">
        <v>200</v>
      </c>
      <c r="C31" t="s">
        <v>186</v>
      </c>
      <c r="D31" t="s">
        <v>17</v>
      </c>
      <c r="E31" t="s">
        <v>169</v>
      </c>
      <c r="F31" t="s">
        <v>29</v>
      </c>
      <c r="G31" t="s">
        <v>61</v>
      </c>
      <c r="H31" t="s">
        <v>62</v>
      </c>
      <c r="I31" t="s">
        <v>39</v>
      </c>
      <c r="J31" t="s">
        <v>201</v>
      </c>
      <c r="K31">
        <v>2022</v>
      </c>
      <c r="L31" t="s">
        <v>140</v>
      </c>
      <c r="M31">
        <v>10</v>
      </c>
      <c r="N31">
        <v>4</v>
      </c>
    </row>
    <row r="32" spans="1:14" x14ac:dyDescent="0.25">
      <c r="A32" t="s">
        <v>202</v>
      </c>
      <c r="B32" t="s">
        <v>203</v>
      </c>
      <c r="C32" t="s">
        <v>120</v>
      </c>
      <c r="D32" t="s">
        <v>17</v>
      </c>
      <c r="E32" t="s">
        <v>121</v>
      </c>
      <c r="F32" t="s">
        <v>19</v>
      </c>
      <c r="G32" t="s">
        <v>61</v>
      </c>
      <c r="H32" t="s">
        <v>47</v>
      </c>
      <c r="I32" t="s">
        <v>39</v>
      </c>
      <c r="J32" t="s">
        <v>204</v>
      </c>
      <c r="K32">
        <v>2022</v>
      </c>
      <c r="L32" t="s">
        <v>145</v>
      </c>
      <c r="M32">
        <v>9</v>
      </c>
      <c r="N32">
        <v>3</v>
      </c>
    </row>
    <row r="33" spans="1:14" x14ac:dyDescent="0.25">
      <c r="A33" t="s">
        <v>205</v>
      </c>
      <c r="B33" t="s">
        <v>206</v>
      </c>
      <c r="C33" t="s">
        <v>207</v>
      </c>
      <c r="D33" t="s">
        <v>17</v>
      </c>
      <c r="E33" t="s">
        <v>197</v>
      </c>
      <c r="F33" t="s">
        <v>19</v>
      </c>
      <c r="G33" t="s">
        <v>61</v>
      </c>
      <c r="H33" t="s">
        <v>47</v>
      </c>
      <c r="I33" t="s">
        <v>208</v>
      </c>
      <c r="J33" t="s">
        <v>209</v>
      </c>
      <c r="K33">
        <v>2022</v>
      </c>
      <c r="L33" t="s">
        <v>145</v>
      </c>
      <c r="M33">
        <v>9</v>
      </c>
      <c r="N33">
        <v>3</v>
      </c>
    </row>
    <row r="34" spans="1:14" x14ac:dyDescent="0.25">
      <c r="A34" t="s">
        <v>210</v>
      </c>
      <c r="B34" t="s">
        <v>211</v>
      </c>
      <c r="C34" t="s">
        <v>212</v>
      </c>
      <c r="D34" t="s">
        <v>17</v>
      </c>
      <c r="E34" t="s">
        <v>213</v>
      </c>
      <c r="F34" t="s">
        <v>29</v>
      </c>
      <c r="G34" t="s">
        <v>30</v>
      </c>
      <c r="H34" t="s">
        <v>69</v>
      </c>
      <c r="I34" t="s">
        <v>39</v>
      </c>
      <c r="J34" t="s">
        <v>214</v>
      </c>
      <c r="K34">
        <v>2022</v>
      </c>
      <c r="L34" t="s">
        <v>145</v>
      </c>
      <c r="M34">
        <v>9</v>
      </c>
      <c r="N34">
        <v>3</v>
      </c>
    </row>
    <row r="35" spans="1:14" x14ac:dyDescent="0.25">
      <c r="A35" t="s">
        <v>215</v>
      </c>
      <c r="B35" t="s">
        <v>216</v>
      </c>
      <c r="C35" t="s">
        <v>217</v>
      </c>
      <c r="D35" t="s">
        <v>17</v>
      </c>
      <c r="E35" t="s">
        <v>218</v>
      </c>
      <c r="F35" t="s">
        <v>29</v>
      </c>
      <c r="G35" t="s">
        <v>30</v>
      </c>
      <c r="H35" t="s">
        <v>219</v>
      </c>
      <c r="I35" t="s">
        <v>39</v>
      </c>
      <c r="J35" t="s">
        <v>220</v>
      </c>
      <c r="K35">
        <v>2022</v>
      </c>
      <c r="L35" t="s">
        <v>23</v>
      </c>
      <c r="M35">
        <v>8</v>
      </c>
      <c r="N35">
        <v>3</v>
      </c>
    </row>
    <row r="36" spans="1:14" x14ac:dyDescent="0.25">
      <c r="A36" t="s">
        <v>221</v>
      </c>
      <c r="B36" t="s">
        <v>222</v>
      </c>
      <c r="C36" t="s">
        <v>223</v>
      </c>
      <c r="D36" t="s">
        <v>17</v>
      </c>
      <c r="E36" t="s">
        <v>97</v>
      </c>
      <c r="F36" t="s">
        <v>19</v>
      </c>
      <c r="G36" t="s">
        <v>61</v>
      </c>
      <c r="H36" t="s">
        <v>224</v>
      </c>
      <c r="I36" t="s">
        <v>225</v>
      </c>
      <c r="J36" t="s">
        <v>226</v>
      </c>
      <c r="K36">
        <v>2022</v>
      </c>
      <c r="L36" t="s">
        <v>41</v>
      </c>
      <c r="M36">
        <v>7</v>
      </c>
      <c r="N36">
        <v>3</v>
      </c>
    </row>
    <row r="37" spans="1:14" x14ac:dyDescent="0.25">
      <c r="A37" t="s">
        <v>227</v>
      </c>
      <c r="B37" t="s">
        <v>228</v>
      </c>
      <c r="C37" t="s">
        <v>82</v>
      </c>
      <c r="D37" t="s">
        <v>17</v>
      </c>
      <c r="E37" t="s">
        <v>83</v>
      </c>
      <c r="F37" t="s">
        <v>29</v>
      </c>
      <c r="G37" t="s">
        <v>30</v>
      </c>
      <c r="H37" t="s">
        <v>219</v>
      </c>
      <c r="I37" t="s">
        <v>39</v>
      </c>
      <c r="J37" t="s">
        <v>229</v>
      </c>
      <c r="K37">
        <v>2022</v>
      </c>
      <c r="L37" t="s">
        <v>71</v>
      </c>
      <c r="M37">
        <v>5</v>
      </c>
      <c r="N37">
        <v>2</v>
      </c>
    </row>
    <row r="38" spans="1:14" x14ac:dyDescent="0.25">
      <c r="A38" t="s">
        <v>230</v>
      </c>
      <c r="B38" t="s">
        <v>231</v>
      </c>
      <c r="C38" t="s">
        <v>232</v>
      </c>
      <c r="D38" t="s">
        <v>17</v>
      </c>
      <c r="E38" t="s">
        <v>97</v>
      </c>
      <c r="F38" t="s">
        <v>29</v>
      </c>
      <c r="G38" t="s">
        <v>30</v>
      </c>
      <c r="H38" t="s">
        <v>233</v>
      </c>
      <c r="I38" t="s">
        <v>234</v>
      </c>
      <c r="J38" t="s">
        <v>235</v>
      </c>
      <c r="K38">
        <v>2022</v>
      </c>
      <c r="L38" t="s">
        <v>93</v>
      </c>
      <c r="M38">
        <v>3</v>
      </c>
      <c r="N38">
        <v>1</v>
      </c>
    </row>
    <row r="39" spans="1:14" x14ac:dyDescent="0.25">
      <c r="A39" t="s">
        <v>236</v>
      </c>
      <c r="B39" t="s">
        <v>237</v>
      </c>
      <c r="C39" t="s">
        <v>238</v>
      </c>
      <c r="D39" t="s">
        <v>17</v>
      </c>
      <c r="E39" t="s">
        <v>239</v>
      </c>
      <c r="F39" t="s">
        <v>29</v>
      </c>
      <c r="G39" t="s">
        <v>30</v>
      </c>
      <c r="H39" t="s">
        <v>31</v>
      </c>
      <c r="I39" t="s">
        <v>39</v>
      </c>
      <c r="J39" t="s">
        <v>240</v>
      </c>
      <c r="K39">
        <v>2022</v>
      </c>
      <c r="L39" t="s">
        <v>93</v>
      </c>
      <c r="M39">
        <v>3</v>
      </c>
      <c r="N39">
        <v>1</v>
      </c>
    </row>
    <row r="40" spans="1:14" x14ac:dyDescent="0.25">
      <c r="A40" t="s">
        <v>241</v>
      </c>
      <c r="B40" t="s">
        <v>180</v>
      </c>
      <c r="C40" t="s">
        <v>242</v>
      </c>
      <c r="D40" t="s">
        <v>17</v>
      </c>
      <c r="E40" t="s">
        <v>83</v>
      </c>
      <c r="F40" t="s">
        <v>29</v>
      </c>
      <c r="G40" t="s">
        <v>30</v>
      </c>
      <c r="H40" t="s">
        <v>69</v>
      </c>
      <c r="I40" t="s">
        <v>39</v>
      </c>
      <c r="J40" t="s">
        <v>243</v>
      </c>
      <c r="K40">
        <v>2022</v>
      </c>
      <c r="L40" t="s">
        <v>99</v>
      </c>
      <c r="M40">
        <v>2</v>
      </c>
      <c r="N40">
        <v>1</v>
      </c>
    </row>
    <row r="41" spans="1:14" x14ac:dyDescent="0.25">
      <c r="A41" t="s">
        <v>244</v>
      </c>
      <c r="B41" t="s">
        <v>245</v>
      </c>
      <c r="C41" t="s">
        <v>246</v>
      </c>
      <c r="D41" t="s">
        <v>17</v>
      </c>
      <c r="E41" t="s">
        <v>134</v>
      </c>
      <c r="F41" t="s">
        <v>29</v>
      </c>
      <c r="G41" t="s">
        <v>30</v>
      </c>
      <c r="H41" t="s">
        <v>69</v>
      </c>
      <c r="I41" t="s">
        <v>247</v>
      </c>
      <c r="J41" t="s">
        <v>248</v>
      </c>
      <c r="K41">
        <v>2021</v>
      </c>
      <c r="L41" t="s">
        <v>117</v>
      </c>
      <c r="M41">
        <v>12</v>
      </c>
      <c r="N41">
        <v>4</v>
      </c>
    </row>
    <row r="42" spans="1:14" x14ac:dyDescent="0.25">
      <c r="A42" t="s">
        <v>249</v>
      </c>
      <c r="B42" t="s">
        <v>250</v>
      </c>
      <c r="C42" t="s">
        <v>251</v>
      </c>
      <c r="D42" t="s">
        <v>17</v>
      </c>
      <c r="E42" t="s">
        <v>114</v>
      </c>
      <c r="F42" t="s">
        <v>19</v>
      </c>
      <c r="G42" t="s">
        <v>61</v>
      </c>
      <c r="H42" t="s">
        <v>47</v>
      </c>
      <c r="I42" t="s">
        <v>115</v>
      </c>
      <c r="J42" t="s">
        <v>252</v>
      </c>
      <c r="K42">
        <v>2021</v>
      </c>
      <c r="L42" t="s">
        <v>117</v>
      </c>
      <c r="M42">
        <v>12</v>
      </c>
      <c r="N42">
        <v>4</v>
      </c>
    </row>
    <row r="43" spans="1:14" x14ac:dyDescent="0.25">
      <c r="A43" t="s">
        <v>253</v>
      </c>
      <c r="B43" t="s">
        <v>254</v>
      </c>
      <c r="C43" t="s">
        <v>255</v>
      </c>
      <c r="D43" t="s">
        <v>17</v>
      </c>
      <c r="E43" t="s">
        <v>256</v>
      </c>
      <c r="F43" t="s">
        <v>29</v>
      </c>
      <c r="G43" t="s">
        <v>30</v>
      </c>
      <c r="H43" t="s">
        <v>257</v>
      </c>
      <c r="I43" t="s">
        <v>39</v>
      </c>
      <c r="J43" t="s">
        <v>258</v>
      </c>
      <c r="K43">
        <v>2021</v>
      </c>
      <c r="L43" t="s">
        <v>117</v>
      </c>
      <c r="M43">
        <v>12</v>
      </c>
      <c r="N43">
        <v>4</v>
      </c>
    </row>
    <row r="44" spans="1:14" x14ac:dyDescent="0.25">
      <c r="A44" t="s">
        <v>259</v>
      </c>
      <c r="B44" t="s">
        <v>260</v>
      </c>
      <c r="C44" t="s">
        <v>261</v>
      </c>
      <c r="D44" t="s">
        <v>17</v>
      </c>
      <c r="E44" t="s">
        <v>97</v>
      </c>
      <c r="F44" t="s">
        <v>29</v>
      </c>
      <c r="G44" t="s">
        <v>30</v>
      </c>
      <c r="H44" t="s">
        <v>69</v>
      </c>
      <c r="I44" t="s">
        <v>39</v>
      </c>
      <c r="J44" t="s">
        <v>262</v>
      </c>
      <c r="K44">
        <v>2021</v>
      </c>
      <c r="L44" t="s">
        <v>145</v>
      </c>
      <c r="M44">
        <v>9</v>
      </c>
      <c r="N44">
        <v>3</v>
      </c>
    </row>
    <row r="45" spans="1:14" x14ac:dyDescent="0.25">
      <c r="A45" t="s">
        <v>263</v>
      </c>
      <c r="B45" t="s">
        <v>264</v>
      </c>
      <c r="C45" t="s">
        <v>265</v>
      </c>
      <c r="D45" t="s">
        <v>17</v>
      </c>
      <c r="E45" t="s">
        <v>197</v>
      </c>
      <c r="F45" t="s">
        <v>29</v>
      </c>
      <c r="G45" t="s">
        <v>76</v>
      </c>
      <c r="H45" t="s">
        <v>47</v>
      </c>
      <c r="I45" t="s">
        <v>266</v>
      </c>
      <c r="J45" t="s">
        <v>267</v>
      </c>
      <c r="K45">
        <v>2021</v>
      </c>
      <c r="L45" t="s">
        <v>145</v>
      </c>
      <c r="M45">
        <v>9</v>
      </c>
      <c r="N45">
        <v>3</v>
      </c>
    </row>
    <row r="46" spans="1:14" x14ac:dyDescent="0.25">
      <c r="A46" t="s">
        <v>268</v>
      </c>
      <c r="B46" t="s">
        <v>269</v>
      </c>
      <c r="C46" t="s">
        <v>270</v>
      </c>
      <c r="D46" t="s">
        <v>27</v>
      </c>
      <c r="E46" t="s">
        <v>399</v>
      </c>
      <c r="F46" t="s">
        <v>19</v>
      </c>
      <c r="G46" t="s">
        <v>46</v>
      </c>
      <c r="H46" t="s">
        <v>271</v>
      </c>
      <c r="I46" t="s">
        <v>39</v>
      </c>
      <c r="J46" t="s">
        <v>272</v>
      </c>
      <c r="K46">
        <v>2021</v>
      </c>
      <c r="L46" t="s">
        <v>145</v>
      </c>
      <c r="M46">
        <v>9</v>
      </c>
      <c r="N46">
        <v>3</v>
      </c>
    </row>
    <row r="47" spans="1:14" x14ac:dyDescent="0.25">
      <c r="A47" t="s">
        <v>273</v>
      </c>
      <c r="B47" t="s">
        <v>274</v>
      </c>
      <c r="C47" t="s">
        <v>53</v>
      </c>
      <c r="D47" t="s">
        <v>27</v>
      </c>
      <c r="E47" t="s">
        <v>399</v>
      </c>
      <c r="F47" t="s">
        <v>29</v>
      </c>
      <c r="G47" t="s">
        <v>76</v>
      </c>
      <c r="H47" t="s">
        <v>224</v>
      </c>
      <c r="I47" t="s">
        <v>275</v>
      </c>
      <c r="J47" t="s">
        <v>276</v>
      </c>
      <c r="K47">
        <v>2021</v>
      </c>
      <c r="L47" t="s">
        <v>145</v>
      </c>
      <c r="M47">
        <v>9</v>
      </c>
      <c r="N47">
        <v>3</v>
      </c>
    </row>
    <row r="48" spans="1:14" x14ac:dyDescent="0.25">
      <c r="A48" t="s">
        <v>277</v>
      </c>
      <c r="B48" t="s">
        <v>278</v>
      </c>
      <c r="C48" t="s">
        <v>279</v>
      </c>
      <c r="D48" t="s">
        <v>27</v>
      </c>
      <c r="E48" t="s">
        <v>97</v>
      </c>
      <c r="F48" t="s">
        <v>29</v>
      </c>
      <c r="G48" t="s">
        <v>47</v>
      </c>
      <c r="H48" t="s">
        <v>31</v>
      </c>
      <c r="I48" t="s">
        <v>39</v>
      </c>
      <c r="J48" t="s">
        <v>280</v>
      </c>
      <c r="K48">
        <v>2021</v>
      </c>
      <c r="L48" t="s">
        <v>23</v>
      </c>
      <c r="M48">
        <v>8</v>
      </c>
      <c r="N48">
        <v>3</v>
      </c>
    </row>
    <row r="49" spans="1:14" x14ac:dyDescent="0.25">
      <c r="A49" t="s">
        <v>281</v>
      </c>
      <c r="B49" t="s">
        <v>282</v>
      </c>
      <c r="C49" t="s">
        <v>283</v>
      </c>
      <c r="D49" t="s">
        <v>17</v>
      </c>
      <c r="E49" t="s">
        <v>36</v>
      </c>
      <c r="F49" t="s">
        <v>19</v>
      </c>
      <c r="G49" t="s">
        <v>61</v>
      </c>
      <c r="H49" t="s">
        <v>62</v>
      </c>
      <c r="I49" t="s">
        <v>284</v>
      </c>
      <c r="J49" t="s">
        <v>285</v>
      </c>
      <c r="K49">
        <v>2020</v>
      </c>
      <c r="L49" t="s">
        <v>145</v>
      </c>
      <c r="M49">
        <v>9</v>
      </c>
      <c r="N49">
        <v>3</v>
      </c>
    </row>
    <row r="50" spans="1:14" x14ac:dyDescent="0.25">
      <c r="A50" t="s">
        <v>286</v>
      </c>
      <c r="B50" t="s">
        <v>287</v>
      </c>
      <c r="C50" t="s">
        <v>288</v>
      </c>
      <c r="D50" t="s">
        <v>17</v>
      </c>
      <c r="E50" t="s">
        <v>289</v>
      </c>
      <c r="F50" t="s">
        <v>29</v>
      </c>
      <c r="G50" t="s">
        <v>61</v>
      </c>
      <c r="H50" t="s">
        <v>62</v>
      </c>
      <c r="I50" t="s">
        <v>39</v>
      </c>
      <c r="J50" t="s">
        <v>290</v>
      </c>
      <c r="K50">
        <v>2020</v>
      </c>
      <c r="L50" t="s">
        <v>99</v>
      </c>
      <c r="M50">
        <v>2</v>
      </c>
      <c r="N50">
        <v>1</v>
      </c>
    </row>
    <row r="51" spans="1:14" x14ac:dyDescent="0.25">
      <c r="A51" t="s">
        <v>291</v>
      </c>
      <c r="B51" t="s">
        <v>292</v>
      </c>
      <c r="C51" t="s">
        <v>279</v>
      </c>
      <c r="D51" t="s">
        <v>27</v>
      </c>
      <c r="E51" t="s">
        <v>134</v>
      </c>
      <c r="F51" t="s">
        <v>29</v>
      </c>
      <c r="G51" t="s">
        <v>61</v>
      </c>
      <c r="H51" t="s">
        <v>47</v>
      </c>
      <c r="I51" t="s">
        <v>293</v>
      </c>
      <c r="J51" t="s">
        <v>294</v>
      </c>
      <c r="K51">
        <v>2019</v>
      </c>
      <c r="L51" t="s">
        <v>23</v>
      </c>
      <c r="M51">
        <v>8</v>
      </c>
      <c r="N51">
        <v>3</v>
      </c>
    </row>
    <row r="52" spans="1:14" x14ac:dyDescent="0.25">
      <c r="A52" t="s">
        <v>295</v>
      </c>
      <c r="B52" t="s">
        <v>180</v>
      </c>
      <c r="C52" t="s">
        <v>242</v>
      </c>
      <c r="D52" t="s">
        <v>17</v>
      </c>
      <c r="E52" t="s">
        <v>83</v>
      </c>
      <c r="F52" t="s">
        <v>29</v>
      </c>
      <c r="G52" t="s">
        <v>61</v>
      </c>
      <c r="H52" t="s">
        <v>47</v>
      </c>
      <c r="I52" t="s">
        <v>21</v>
      </c>
      <c r="J52" t="s">
        <v>296</v>
      </c>
      <c r="K52">
        <v>2019</v>
      </c>
      <c r="L52" t="s">
        <v>99</v>
      </c>
      <c r="M52">
        <v>2</v>
      </c>
      <c r="N52">
        <v>1</v>
      </c>
    </row>
    <row r="53" spans="1:14" x14ac:dyDescent="0.25">
      <c r="A53" t="s">
        <v>297</v>
      </c>
      <c r="B53" t="s">
        <v>298</v>
      </c>
      <c r="C53" t="s">
        <v>299</v>
      </c>
      <c r="D53" t="s">
        <v>17</v>
      </c>
      <c r="E53" t="s">
        <v>155</v>
      </c>
      <c r="F53" t="s">
        <v>29</v>
      </c>
      <c r="G53" t="s">
        <v>61</v>
      </c>
      <c r="H53" t="s">
        <v>47</v>
      </c>
      <c r="I53" t="s">
        <v>39</v>
      </c>
      <c r="J53" t="s">
        <v>300</v>
      </c>
      <c r="K53">
        <v>2019</v>
      </c>
      <c r="L53" t="s">
        <v>99</v>
      </c>
      <c r="M53">
        <v>2</v>
      </c>
      <c r="N53">
        <v>1</v>
      </c>
    </row>
    <row r="54" spans="1:14" x14ac:dyDescent="0.25">
      <c r="A54" t="s">
        <v>301</v>
      </c>
      <c r="B54" t="s">
        <v>302</v>
      </c>
      <c r="C54" t="s">
        <v>303</v>
      </c>
      <c r="D54" t="s">
        <v>17</v>
      </c>
      <c r="E54" t="s">
        <v>114</v>
      </c>
      <c r="F54" t="s">
        <v>29</v>
      </c>
      <c r="G54" t="s">
        <v>30</v>
      </c>
      <c r="H54" t="s">
        <v>69</v>
      </c>
      <c r="I54" t="s">
        <v>21</v>
      </c>
      <c r="J54" t="s">
        <v>304</v>
      </c>
      <c r="K54">
        <v>2018</v>
      </c>
      <c r="L54" t="s">
        <v>117</v>
      </c>
      <c r="M54">
        <v>12</v>
      </c>
      <c r="N54">
        <v>4</v>
      </c>
    </row>
    <row r="55" spans="1:14" x14ac:dyDescent="0.25">
      <c r="A55" t="s">
        <v>305</v>
      </c>
      <c r="B55" t="s">
        <v>306</v>
      </c>
      <c r="C55" t="s">
        <v>307</v>
      </c>
      <c r="D55" t="s">
        <v>27</v>
      </c>
      <c r="E55" t="s">
        <v>308</v>
      </c>
      <c r="F55" t="s">
        <v>29</v>
      </c>
      <c r="G55" t="s">
        <v>30</v>
      </c>
      <c r="H55" t="s">
        <v>69</v>
      </c>
      <c r="I55" t="s">
        <v>309</v>
      </c>
      <c r="J55" t="s">
        <v>310</v>
      </c>
      <c r="K55">
        <v>2018</v>
      </c>
      <c r="L55" t="s">
        <v>117</v>
      </c>
      <c r="M55">
        <v>12</v>
      </c>
      <c r="N55">
        <v>4</v>
      </c>
    </row>
    <row r="56" spans="1:14" x14ac:dyDescent="0.25">
      <c r="A56" t="s">
        <v>311</v>
      </c>
      <c r="B56" t="s">
        <v>312</v>
      </c>
      <c r="C56" t="s">
        <v>313</v>
      </c>
      <c r="D56" t="s">
        <v>27</v>
      </c>
      <c r="E56" t="s">
        <v>308</v>
      </c>
      <c r="F56" t="s">
        <v>29</v>
      </c>
      <c r="G56" t="s">
        <v>30</v>
      </c>
      <c r="H56" t="s">
        <v>219</v>
      </c>
      <c r="I56" t="s">
        <v>314</v>
      </c>
      <c r="J56" t="s">
        <v>315</v>
      </c>
      <c r="K56">
        <v>2018</v>
      </c>
      <c r="L56" t="s">
        <v>93</v>
      </c>
      <c r="M56">
        <v>3</v>
      </c>
      <c r="N56">
        <v>1</v>
      </c>
    </row>
    <row r="57" spans="1:14" x14ac:dyDescent="0.25">
      <c r="A57" t="s">
        <v>316</v>
      </c>
      <c r="B57" t="s">
        <v>317</v>
      </c>
      <c r="C57" t="s">
        <v>190</v>
      </c>
      <c r="D57" t="s">
        <v>17</v>
      </c>
      <c r="E57" t="s">
        <v>134</v>
      </c>
      <c r="F57" t="s">
        <v>29</v>
      </c>
      <c r="G57" t="s">
        <v>61</v>
      </c>
      <c r="H57" t="s">
        <v>47</v>
      </c>
      <c r="I57" t="s">
        <v>318</v>
      </c>
      <c r="J57" t="s">
        <v>319</v>
      </c>
      <c r="K57">
        <v>2018</v>
      </c>
      <c r="L57" t="s">
        <v>93</v>
      </c>
      <c r="M57">
        <v>3</v>
      </c>
      <c r="N57">
        <v>1</v>
      </c>
    </row>
    <row r="58" spans="1:14" x14ac:dyDescent="0.25">
      <c r="A58" t="s">
        <v>320</v>
      </c>
      <c r="B58" t="s">
        <v>321</v>
      </c>
      <c r="C58" t="s">
        <v>322</v>
      </c>
      <c r="D58" t="s">
        <v>27</v>
      </c>
      <c r="E58" t="s">
        <v>399</v>
      </c>
      <c r="F58" t="s">
        <v>19</v>
      </c>
      <c r="G58" t="s">
        <v>30</v>
      </c>
      <c r="H58" t="s">
        <v>219</v>
      </c>
      <c r="I58" t="s">
        <v>63</v>
      </c>
      <c r="J58" t="s">
        <v>323</v>
      </c>
      <c r="K58">
        <v>2018</v>
      </c>
      <c r="L58" t="s">
        <v>99</v>
      </c>
      <c r="M58">
        <v>2</v>
      </c>
      <c r="N58">
        <v>1</v>
      </c>
    </row>
    <row r="59" spans="1:14" x14ac:dyDescent="0.25">
      <c r="A59" t="s">
        <v>324</v>
      </c>
      <c r="B59" t="s">
        <v>325</v>
      </c>
      <c r="C59" t="s">
        <v>326</v>
      </c>
      <c r="D59" t="s">
        <v>17</v>
      </c>
      <c r="E59" t="s">
        <v>213</v>
      </c>
      <c r="F59" t="s">
        <v>29</v>
      </c>
      <c r="G59" t="s">
        <v>327</v>
      </c>
      <c r="H59" t="s">
        <v>328</v>
      </c>
      <c r="I59" t="s">
        <v>329</v>
      </c>
      <c r="J59" t="s">
        <v>330</v>
      </c>
      <c r="K59">
        <v>2017</v>
      </c>
      <c r="L59" t="s">
        <v>93</v>
      </c>
      <c r="M59">
        <v>3</v>
      </c>
      <c r="N59">
        <v>1</v>
      </c>
    </row>
    <row r="60" spans="1:14" x14ac:dyDescent="0.25">
      <c r="A60" t="s">
        <v>331</v>
      </c>
      <c r="B60" t="s">
        <v>332</v>
      </c>
      <c r="C60" t="s">
        <v>190</v>
      </c>
      <c r="D60" t="s">
        <v>17</v>
      </c>
      <c r="E60" t="s">
        <v>134</v>
      </c>
      <c r="F60" t="s">
        <v>29</v>
      </c>
      <c r="G60" t="s">
        <v>61</v>
      </c>
      <c r="H60" t="s">
        <v>47</v>
      </c>
      <c r="I60" t="s">
        <v>39</v>
      </c>
      <c r="J60" t="s">
        <v>333</v>
      </c>
      <c r="K60">
        <v>2017</v>
      </c>
      <c r="L60" t="s">
        <v>93</v>
      </c>
      <c r="M60">
        <v>3</v>
      </c>
      <c r="N60">
        <v>1</v>
      </c>
    </row>
    <row r="61" spans="1:14" x14ac:dyDescent="0.25">
      <c r="A61" t="s">
        <v>334</v>
      </c>
      <c r="B61" t="s">
        <v>335</v>
      </c>
      <c r="C61" t="s">
        <v>336</v>
      </c>
      <c r="D61" t="s">
        <v>17</v>
      </c>
      <c r="E61" t="s">
        <v>337</v>
      </c>
      <c r="F61" t="s">
        <v>29</v>
      </c>
      <c r="G61" t="s">
        <v>37</v>
      </c>
      <c r="H61" t="s">
        <v>47</v>
      </c>
      <c r="I61" t="s">
        <v>338</v>
      </c>
      <c r="J61" t="s">
        <v>339</v>
      </c>
      <c r="K61">
        <v>2017</v>
      </c>
      <c r="L61" t="s">
        <v>99</v>
      </c>
      <c r="M61">
        <v>2</v>
      </c>
      <c r="N61">
        <v>1</v>
      </c>
    </row>
    <row r="62" spans="1:14" x14ac:dyDescent="0.25">
      <c r="A62" t="s">
        <v>340</v>
      </c>
      <c r="B62" t="s">
        <v>341</v>
      </c>
      <c r="C62" t="s">
        <v>109</v>
      </c>
      <c r="D62" t="s">
        <v>17</v>
      </c>
      <c r="E62" t="s">
        <v>97</v>
      </c>
      <c r="F62" t="s">
        <v>29</v>
      </c>
      <c r="G62" t="s">
        <v>30</v>
      </c>
      <c r="H62" t="s">
        <v>31</v>
      </c>
      <c r="I62" t="s">
        <v>39</v>
      </c>
      <c r="J62" t="s">
        <v>342</v>
      </c>
      <c r="K62">
        <v>2016</v>
      </c>
      <c r="L62" t="s">
        <v>117</v>
      </c>
      <c r="M62">
        <v>12</v>
      </c>
      <c r="N62">
        <v>4</v>
      </c>
    </row>
    <row r="63" spans="1:14" x14ac:dyDescent="0.25">
      <c r="A63" t="s">
        <v>343</v>
      </c>
      <c r="B63" t="s">
        <v>344</v>
      </c>
      <c r="C63" t="s">
        <v>313</v>
      </c>
      <c r="D63" t="s">
        <v>27</v>
      </c>
      <c r="E63" t="s">
        <v>97</v>
      </c>
      <c r="F63" t="s">
        <v>29</v>
      </c>
      <c r="G63" t="s">
        <v>61</v>
      </c>
      <c r="H63" t="s">
        <v>47</v>
      </c>
      <c r="I63" t="s">
        <v>345</v>
      </c>
      <c r="J63" t="s">
        <v>346</v>
      </c>
      <c r="K63">
        <v>2016</v>
      </c>
      <c r="L63" t="s">
        <v>71</v>
      </c>
      <c r="M63">
        <v>5</v>
      </c>
      <c r="N63">
        <v>2</v>
      </c>
    </row>
    <row r="64" spans="1:14" x14ac:dyDescent="0.25">
      <c r="A64" t="s">
        <v>347</v>
      </c>
      <c r="B64" t="s">
        <v>348</v>
      </c>
      <c r="C64" t="s">
        <v>349</v>
      </c>
      <c r="D64" t="s">
        <v>17</v>
      </c>
      <c r="E64" t="s">
        <v>97</v>
      </c>
      <c r="F64" t="s">
        <v>29</v>
      </c>
      <c r="G64" t="s">
        <v>61</v>
      </c>
      <c r="H64" t="s">
        <v>47</v>
      </c>
      <c r="I64" t="s">
        <v>39</v>
      </c>
      <c r="J64" t="s">
        <v>350</v>
      </c>
      <c r="K64">
        <v>2015</v>
      </c>
      <c r="L64" t="s">
        <v>71</v>
      </c>
      <c r="M64">
        <v>5</v>
      </c>
      <c r="N64">
        <v>2</v>
      </c>
    </row>
    <row r="65" spans="1:14" x14ac:dyDescent="0.25">
      <c r="A65" t="s">
        <v>351</v>
      </c>
      <c r="B65" t="s">
        <v>352</v>
      </c>
      <c r="C65" t="s">
        <v>313</v>
      </c>
      <c r="D65" t="s">
        <v>27</v>
      </c>
      <c r="E65" t="s">
        <v>399</v>
      </c>
      <c r="F65" t="s">
        <v>29</v>
      </c>
      <c r="G65" t="s">
        <v>30</v>
      </c>
      <c r="H65" t="s">
        <v>31</v>
      </c>
      <c r="I65" t="s">
        <v>39</v>
      </c>
      <c r="J65" t="s">
        <v>353</v>
      </c>
      <c r="K65">
        <v>2015</v>
      </c>
      <c r="L65" t="s">
        <v>71</v>
      </c>
      <c r="M65">
        <v>5</v>
      </c>
      <c r="N65">
        <v>2</v>
      </c>
    </row>
    <row r="66" spans="1:14" x14ac:dyDescent="0.25">
      <c r="A66" t="s">
        <v>354</v>
      </c>
      <c r="B66" t="s">
        <v>355</v>
      </c>
      <c r="C66" t="s">
        <v>109</v>
      </c>
      <c r="D66" t="s">
        <v>17</v>
      </c>
      <c r="E66" t="s">
        <v>97</v>
      </c>
      <c r="F66" t="s">
        <v>29</v>
      </c>
      <c r="G66" t="s">
        <v>30</v>
      </c>
      <c r="H66" t="s">
        <v>31</v>
      </c>
      <c r="I66" t="s">
        <v>21</v>
      </c>
      <c r="J66" t="s">
        <v>356</v>
      </c>
      <c r="K66">
        <v>2015</v>
      </c>
      <c r="L66" t="s">
        <v>93</v>
      </c>
      <c r="M66">
        <v>3</v>
      </c>
      <c r="N66">
        <v>1</v>
      </c>
    </row>
    <row r="67" spans="1:14" x14ac:dyDescent="0.25">
      <c r="A67" t="s">
        <v>357</v>
      </c>
      <c r="B67" t="s">
        <v>358</v>
      </c>
      <c r="C67" t="s">
        <v>359</v>
      </c>
      <c r="D67" t="s">
        <v>17</v>
      </c>
      <c r="E67" t="s">
        <v>97</v>
      </c>
      <c r="F67" t="s">
        <v>29</v>
      </c>
      <c r="G67" t="s">
        <v>30</v>
      </c>
      <c r="H67" t="s">
        <v>31</v>
      </c>
      <c r="I67" t="s">
        <v>39</v>
      </c>
      <c r="J67" t="s">
        <v>360</v>
      </c>
      <c r="K67">
        <v>2014</v>
      </c>
      <c r="L67" t="s">
        <v>50</v>
      </c>
      <c r="M67">
        <v>6</v>
      </c>
      <c r="N67">
        <v>2</v>
      </c>
    </row>
  </sheetData>
  <mergeCells count="1">
    <mergeCell ref="P2:R2"/>
  </mergeCells>
  <pageMargins left="0.75" right="0.75" top="1" bottom="1" header="0.5" footer="0.5"/>
  <pageSetup paperSize="9" orientation="portrait" horizontalDpi="0"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2"/>
  <sheetViews>
    <sheetView zoomScale="85" zoomScaleNormal="85" workbookViewId="0">
      <selection activeCell="G68" sqref="G68"/>
    </sheetView>
  </sheetViews>
  <sheetFormatPr defaultRowHeight="15" x14ac:dyDescent="0.25"/>
  <cols>
    <col min="1" max="1" width="13.28515625" customWidth="1"/>
    <col min="2" max="2" width="14.140625" customWidth="1"/>
    <col min="3" max="3" width="15" customWidth="1"/>
    <col min="4" max="4" width="15.5703125" customWidth="1"/>
    <col min="5" max="5" width="15" customWidth="1"/>
    <col min="7" max="8" width="13.28515625" customWidth="1"/>
    <col min="9" max="9" width="14.140625" customWidth="1"/>
  </cols>
  <sheetData>
    <row r="1" spans="1:12" ht="28.5" x14ac:dyDescent="0.45">
      <c r="A1" s="71" t="s">
        <v>394</v>
      </c>
      <c r="B1" s="72"/>
      <c r="C1" s="72"/>
      <c r="D1" s="72"/>
      <c r="E1" s="72"/>
      <c r="F1" s="73"/>
    </row>
    <row r="2" spans="1:12" x14ac:dyDescent="0.25">
      <c r="A2" s="7"/>
      <c r="B2" s="8"/>
      <c r="C2" s="8"/>
      <c r="D2" s="8"/>
      <c r="E2" s="8"/>
      <c r="F2" s="9"/>
      <c r="G2" t="s">
        <v>400</v>
      </c>
      <c r="I2" t="s">
        <v>401</v>
      </c>
      <c r="J2" t="s">
        <v>402</v>
      </c>
      <c r="L2" t="s">
        <v>403</v>
      </c>
    </row>
    <row r="3" spans="1:12" x14ac:dyDescent="0.25">
      <c r="A3" s="33" t="s">
        <v>392</v>
      </c>
      <c r="B3" s="16"/>
      <c r="C3" s="8"/>
      <c r="D3" s="32" t="s">
        <v>388</v>
      </c>
      <c r="E3" s="33" t="s">
        <v>30</v>
      </c>
      <c r="F3" s="9"/>
      <c r="G3">
        <f>GETPIVOTDATA("Date of Exam/Incident",$A$3)</f>
        <v>66</v>
      </c>
      <c r="I3">
        <f>GETPIVOTDATA("Action taken",$D$3,"Action taken","Exam Cancelled")</f>
        <v>30</v>
      </c>
      <c r="J3" s="48">
        <f>GETPIVOTDATA("Leak Confirmation Status",$A$6,"Leak Confirmation Status","confirmed")</f>
        <v>0.72727272727272729</v>
      </c>
      <c r="L3">
        <f>GETPIVOTDATA("Year",$D$6,"Year",2024)</f>
        <v>13</v>
      </c>
    </row>
    <row r="4" spans="1:12" x14ac:dyDescent="0.25">
      <c r="A4" s="47">
        <v>66</v>
      </c>
      <c r="B4" s="15"/>
      <c r="C4" s="8"/>
      <c r="D4" s="34" t="s">
        <v>30</v>
      </c>
      <c r="E4" s="47">
        <v>30</v>
      </c>
      <c r="F4" s="9"/>
    </row>
    <row r="5" spans="1:12" x14ac:dyDescent="0.25">
      <c r="A5" s="7"/>
      <c r="B5" s="8"/>
      <c r="C5" s="8"/>
      <c r="D5" s="8"/>
      <c r="E5" s="8"/>
      <c r="F5" s="9"/>
    </row>
    <row r="6" spans="1:12" x14ac:dyDescent="0.25">
      <c r="A6" s="35" t="s">
        <v>388</v>
      </c>
      <c r="B6" s="35" t="s">
        <v>391</v>
      </c>
      <c r="C6" s="8"/>
      <c r="D6" s="32" t="s">
        <v>388</v>
      </c>
      <c r="E6" s="33" t="s">
        <v>393</v>
      </c>
      <c r="F6" s="9"/>
    </row>
    <row r="7" spans="1:12" x14ac:dyDescent="0.25">
      <c r="A7" s="46" t="s">
        <v>19</v>
      </c>
      <c r="B7" s="36">
        <v>0.27272727272727271</v>
      </c>
      <c r="C7" s="8"/>
      <c r="D7" s="34">
        <v>2024</v>
      </c>
      <c r="E7" s="47">
        <v>13</v>
      </c>
      <c r="F7" s="9"/>
    </row>
    <row r="8" spans="1:12" x14ac:dyDescent="0.25">
      <c r="A8" s="45" t="s">
        <v>29</v>
      </c>
      <c r="B8" s="37">
        <v>0.72727272727272729</v>
      </c>
      <c r="C8" s="8"/>
      <c r="D8" s="8"/>
      <c r="E8" s="8"/>
      <c r="F8" s="9"/>
    </row>
    <row r="9" spans="1:12" x14ac:dyDescent="0.25">
      <c r="A9" s="13"/>
      <c r="B9" s="14"/>
      <c r="C9" s="14"/>
      <c r="D9" s="14"/>
      <c r="E9" s="14"/>
      <c r="F9" s="15"/>
    </row>
    <row r="10" spans="1:12" x14ac:dyDescent="0.25">
      <c r="C10" s="8"/>
    </row>
    <row r="11" spans="1:12" ht="28.5" x14ac:dyDescent="0.45">
      <c r="A11" s="38" t="s">
        <v>395</v>
      </c>
      <c r="B11" s="38"/>
      <c r="C11" s="39"/>
      <c r="D11" s="40"/>
    </row>
    <row r="12" spans="1:12" ht="21" x14ac:dyDescent="0.35">
      <c r="A12" s="74" t="s">
        <v>373</v>
      </c>
      <c r="B12" s="75"/>
      <c r="C12" s="75"/>
      <c r="D12" s="75"/>
      <c r="E12" s="75"/>
      <c r="F12" s="75"/>
      <c r="G12" s="75"/>
      <c r="H12" s="76"/>
    </row>
    <row r="13" spans="1:12" x14ac:dyDescent="0.25">
      <c r="A13" s="32" t="s">
        <v>388</v>
      </c>
      <c r="B13" s="33" t="s">
        <v>392</v>
      </c>
      <c r="C13" s="8"/>
      <c r="D13" s="8"/>
      <c r="E13" s="8"/>
      <c r="F13" s="8"/>
      <c r="G13" s="8"/>
      <c r="H13" s="9"/>
    </row>
    <row r="14" spans="1:12" x14ac:dyDescent="0.25">
      <c r="A14" s="46">
        <v>2014</v>
      </c>
      <c r="B14" s="41">
        <v>1</v>
      </c>
      <c r="C14" s="8"/>
      <c r="D14" s="8"/>
      <c r="E14" s="8"/>
      <c r="F14" s="8"/>
      <c r="G14" s="8"/>
      <c r="H14" s="9"/>
    </row>
    <row r="15" spans="1:12" x14ac:dyDescent="0.25">
      <c r="A15" s="44">
        <v>2015</v>
      </c>
      <c r="B15" s="42">
        <v>3</v>
      </c>
      <c r="C15" s="8"/>
      <c r="D15" s="8"/>
      <c r="E15" s="8"/>
      <c r="F15" s="8"/>
      <c r="G15" s="8"/>
      <c r="H15" s="9"/>
    </row>
    <row r="16" spans="1:12" x14ac:dyDescent="0.25">
      <c r="A16" s="44">
        <v>2016</v>
      </c>
      <c r="B16" s="42">
        <v>2</v>
      </c>
      <c r="C16" s="8"/>
      <c r="D16" s="8"/>
      <c r="E16" s="8"/>
      <c r="F16" s="8"/>
      <c r="G16" s="8"/>
      <c r="H16" s="9"/>
    </row>
    <row r="17" spans="1:13" x14ac:dyDescent="0.25">
      <c r="A17" s="44">
        <v>2017</v>
      </c>
      <c r="B17" s="42">
        <v>3</v>
      </c>
      <c r="C17" s="8"/>
      <c r="D17" s="8"/>
      <c r="E17" s="8"/>
      <c r="F17" s="8"/>
      <c r="G17" s="8"/>
      <c r="H17" s="9"/>
    </row>
    <row r="18" spans="1:13" x14ac:dyDescent="0.25">
      <c r="A18" s="44">
        <v>2018</v>
      </c>
      <c r="B18" s="42">
        <v>5</v>
      </c>
      <c r="C18" s="8"/>
      <c r="D18" s="8"/>
      <c r="E18" s="8"/>
      <c r="F18" s="8"/>
      <c r="G18" s="8"/>
      <c r="H18" s="9"/>
    </row>
    <row r="19" spans="1:13" x14ac:dyDescent="0.25">
      <c r="A19" s="44">
        <v>2019</v>
      </c>
      <c r="B19" s="42">
        <v>3</v>
      </c>
      <c r="C19" s="8"/>
      <c r="D19" s="8"/>
      <c r="E19" s="8"/>
      <c r="F19" s="8"/>
      <c r="G19" s="8"/>
      <c r="H19" s="9"/>
    </row>
    <row r="20" spans="1:13" x14ac:dyDescent="0.25">
      <c r="A20" s="44">
        <v>2020</v>
      </c>
      <c r="B20" s="42">
        <v>2</v>
      </c>
      <c r="C20" s="8"/>
      <c r="D20" s="8"/>
      <c r="E20" s="8"/>
      <c r="F20" s="8"/>
      <c r="G20" s="8"/>
      <c r="H20" s="9"/>
    </row>
    <row r="21" spans="1:13" x14ac:dyDescent="0.25">
      <c r="A21" s="44">
        <v>2021</v>
      </c>
      <c r="B21" s="42">
        <v>8</v>
      </c>
      <c r="C21" s="8"/>
      <c r="D21" s="8"/>
      <c r="E21" s="8"/>
      <c r="F21" s="8"/>
      <c r="G21" s="8"/>
      <c r="H21" s="9"/>
    </row>
    <row r="22" spans="1:13" x14ac:dyDescent="0.25">
      <c r="A22" s="44">
        <v>2022</v>
      </c>
      <c r="B22" s="42">
        <v>11</v>
      </c>
      <c r="C22" s="8"/>
      <c r="D22" s="8"/>
      <c r="E22" s="8"/>
      <c r="F22" s="8"/>
      <c r="G22" s="8"/>
      <c r="H22" s="9"/>
    </row>
    <row r="23" spans="1:13" x14ac:dyDescent="0.25">
      <c r="A23" s="44">
        <v>2023</v>
      </c>
      <c r="B23" s="42">
        <v>15</v>
      </c>
      <c r="C23" s="8"/>
      <c r="D23" s="8"/>
      <c r="E23" s="8"/>
      <c r="F23" s="8"/>
      <c r="G23" s="8"/>
      <c r="H23" s="9"/>
    </row>
    <row r="24" spans="1:13" x14ac:dyDescent="0.25">
      <c r="A24" s="45">
        <v>2024</v>
      </c>
      <c r="B24" s="43">
        <v>13</v>
      </c>
      <c r="C24" s="8"/>
      <c r="D24" s="8"/>
      <c r="E24" s="8"/>
      <c r="F24" s="8"/>
      <c r="G24" s="8"/>
      <c r="H24" s="9"/>
    </row>
    <row r="25" spans="1:13" x14ac:dyDescent="0.25">
      <c r="A25" s="13"/>
      <c r="B25" s="14"/>
      <c r="C25" s="14"/>
      <c r="D25" s="14"/>
      <c r="E25" s="14"/>
      <c r="F25" s="14"/>
      <c r="G25" s="14"/>
      <c r="H25" s="15"/>
    </row>
    <row r="27" spans="1:13" ht="21" x14ac:dyDescent="0.35">
      <c r="A27" s="74" t="s">
        <v>396</v>
      </c>
      <c r="B27" s="75"/>
      <c r="C27" s="75"/>
      <c r="D27" s="75"/>
      <c r="E27" s="76"/>
    </row>
    <row r="28" spans="1:13" x14ac:dyDescent="0.25">
      <c r="A28" s="32" t="s">
        <v>388</v>
      </c>
      <c r="B28" s="33" t="s">
        <v>390</v>
      </c>
      <c r="C28" s="8"/>
      <c r="D28" s="8"/>
      <c r="E28" s="9"/>
    </row>
    <row r="29" spans="1:13" x14ac:dyDescent="0.25">
      <c r="A29" s="31" t="s">
        <v>68</v>
      </c>
      <c r="B29" s="41">
        <v>3</v>
      </c>
      <c r="C29" s="8"/>
      <c r="D29" s="8"/>
      <c r="E29" s="9"/>
    </row>
    <row r="30" spans="1:13" ht="21" x14ac:dyDescent="0.35">
      <c r="A30" s="31" t="s">
        <v>36</v>
      </c>
      <c r="B30" s="42">
        <v>3</v>
      </c>
      <c r="C30" s="8"/>
      <c r="D30" s="8"/>
      <c r="E30" s="9"/>
      <c r="H30" s="74" t="s">
        <v>397</v>
      </c>
      <c r="I30" s="75"/>
      <c r="J30" s="75"/>
      <c r="K30" s="75"/>
      <c r="L30" s="75"/>
      <c r="M30" s="76"/>
    </row>
    <row r="31" spans="1:13" x14ac:dyDescent="0.25">
      <c r="A31" s="31" t="s">
        <v>169</v>
      </c>
      <c r="B31" s="42">
        <v>3</v>
      </c>
      <c r="C31" s="8"/>
      <c r="D31" s="8"/>
      <c r="E31" s="9"/>
      <c r="H31" s="32" t="s">
        <v>388</v>
      </c>
      <c r="I31" s="33" t="s">
        <v>392</v>
      </c>
      <c r="J31" s="8"/>
      <c r="K31" s="8"/>
      <c r="L31" s="8"/>
      <c r="M31" s="9"/>
    </row>
    <row r="32" spans="1:13" x14ac:dyDescent="0.25">
      <c r="A32" s="31" t="s">
        <v>197</v>
      </c>
      <c r="B32" s="42">
        <v>3</v>
      </c>
      <c r="C32" s="8"/>
      <c r="D32" s="8"/>
      <c r="E32" s="9"/>
      <c r="H32" s="46" t="s">
        <v>27</v>
      </c>
      <c r="I32" s="41">
        <v>13</v>
      </c>
      <c r="J32" s="8"/>
      <c r="K32" s="8"/>
      <c r="L32" s="8"/>
      <c r="M32" s="9"/>
    </row>
    <row r="33" spans="1:14" x14ac:dyDescent="0.25">
      <c r="A33" s="31" t="s">
        <v>114</v>
      </c>
      <c r="B33" s="42">
        <v>3</v>
      </c>
      <c r="C33" s="8"/>
      <c r="D33" s="8"/>
      <c r="E33" s="9"/>
      <c r="H33" s="44" t="s">
        <v>75</v>
      </c>
      <c r="I33" s="42">
        <v>3</v>
      </c>
      <c r="J33" s="8"/>
      <c r="K33" s="8"/>
      <c r="L33" s="8"/>
      <c r="M33" s="9"/>
    </row>
    <row r="34" spans="1:14" x14ac:dyDescent="0.25">
      <c r="A34" s="31" t="s">
        <v>83</v>
      </c>
      <c r="B34" s="42">
        <v>5</v>
      </c>
      <c r="C34" s="8"/>
      <c r="D34" s="8"/>
      <c r="E34" s="9"/>
      <c r="H34" s="45" t="s">
        <v>17</v>
      </c>
      <c r="I34" s="42">
        <v>50</v>
      </c>
      <c r="J34" s="8"/>
      <c r="K34" s="8"/>
      <c r="L34" s="8"/>
      <c r="M34" s="9"/>
    </row>
    <row r="35" spans="1:14" x14ac:dyDescent="0.25">
      <c r="A35" s="31" t="s">
        <v>134</v>
      </c>
      <c r="B35" s="42">
        <v>6</v>
      </c>
      <c r="C35" s="8"/>
      <c r="D35" s="8"/>
      <c r="E35" s="9"/>
      <c r="H35" s="34" t="s">
        <v>389</v>
      </c>
      <c r="I35" s="43">
        <v>66</v>
      </c>
      <c r="J35" s="8"/>
      <c r="K35" s="8"/>
      <c r="L35" s="8"/>
      <c r="M35" s="9"/>
    </row>
    <row r="36" spans="1:14" x14ac:dyDescent="0.25">
      <c r="A36" s="30" t="s">
        <v>97</v>
      </c>
      <c r="B36" s="43">
        <v>11</v>
      </c>
      <c r="C36" s="8"/>
      <c r="D36" s="8"/>
      <c r="E36" s="9"/>
      <c r="H36" s="7"/>
      <c r="I36" s="8"/>
      <c r="J36" s="8"/>
      <c r="K36" s="8"/>
      <c r="L36" s="8"/>
      <c r="M36" s="9"/>
    </row>
    <row r="37" spans="1:14" x14ac:dyDescent="0.25">
      <c r="C37" s="8"/>
      <c r="D37" s="8"/>
      <c r="E37" s="9"/>
      <c r="H37" s="7"/>
      <c r="I37" s="8"/>
      <c r="J37" s="8"/>
      <c r="K37" s="8"/>
      <c r="L37" s="8"/>
      <c r="M37" s="9"/>
    </row>
    <row r="38" spans="1:14" x14ac:dyDescent="0.25">
      <c r="A38" s="7"/>
      <c r="B38" s="8"/>
      <c r="C38" s="8"/>
      <c r="D38" s="8"/>
      <c r="E38" s="9"/>
      <c r="H38" s="7"/>
      <c r="I38" s="8"/>
      <c r="J38" s="8"/>
      <c r="K38" s="8"/>
      <c r="L38" s="8"/>
      <c r="M38" s="9"/>
    </row>
    <row r="39" spans="1:14" x14ac:dyDescent="0.25">
      <c r="A39" s="7"/>
      <c r="B39" s="8"/>
      <c r="C39" s="8"/>
      <c r="D39" s="8"/>
      <c r="E39" s="9"/>
      <c r="H39" s="7"/>
      <c r="I39" s="8"/>
      <c r="J39" s="8"/>
      <c r="K39" s="8"/>
      <c r="L39" s="8"/>
      <c r="M39" s="9"/>
    </row>
    <row r="40" spans="1:14" x14ac:dyDescent="0.25">
      <c r="A40" s="7"/>
      <c r="B40" s="8"/>
      <c r="C40" s="8"/>
      <c r="D40" s="8"/>
      <c r="E40" s="9"/>
      <c r="H40" s="7"/>
      <c r="I40" s="8"/>
      <c r="J40" s="8"/>
      <c r="K40" s="8"/>
      <c r="L40" s="8"/>
      <c r="M40" s="9"/>
    </row>
    <row r="41" spans="1:14" x14ac:dyDescent="0.25">
      <c r="A41" s="7"/>
      <c r="B41" s="8"/>
      <c r="C41" s="8"/>
      <c r="D41" s="8"/>
      <c r="E41" s="9"/>
      <c r="H41" s="13"/>
      <c r="I41" s="14"/>
      <c r="J41" s="14"/>
      <c r="K41" s="14"/>
      <c r="M41" s="15"/>
    </row>
    <row r="42" spans="1:14" x14ac:dyDescent="0.25">
      <c r="A42" s="7"/>
      <c r="B42" s="8"/>
      <c r="C42" s="8"/>
      <c r="D42" s="8"/>
      <c r="E42" s="9"/>
    </row>
    <row r="43" spans="1:14" x14ac:dyDescent="0.25">
      <c r="A43" s="7"/>
      <c r="B43" s="8"/>
      <c r="C43" s="8"/>
      <c r="D43" s="8"/>
      <c r="E43" s="9"/>
    </row>
    <row r="44" spans="1:14" x14ac:dyDescent="0.25">
      <c r="A44" s="13"/>
      <c r="B44" s="14"/>
      <c r="C44" s="14"/>
      <c r="D44" s="14"/>
      <c r="E44" s="15"/>
    </row>
    <row r="46" spans="1:14" ht="21" x14ac:dyDescent="0.35">
      <c r="H46" s="74" t="s">
        <v>398</v>
      </c>
      <c r="I46" s="75"/>
      <c r="J46" s="75"/>
      <c r="K46" s="75"/>
      <c r="L46" s="75"/>
      <c r="M46" s="75"/>
      <c r="N46" s="76"/>
    </row>
    <row r="47" spans="1:14" ht="21" x14ac:dyDescent="0.35">
      <c r="A47" s="74" t="s">
        <v>383</v>
      </c>
      <c r="B47" s="75"/>
      <c r="C47" s="75"/>
      <c r="D47" s="75"/>
      <c r="E47" s="76"/>
      <c r="F47" s="52"/>
      <c r="H47" s="32" t="s">
        <v>388</v>
      </c>
      <c r="I47" s="33" t="s">
        <v>390</v>
      </c>
      <c r="J47" s="8"/>
      <c r="K47" s="8"/>
      <c r="L47" s="8"/>
      <c r="M47" s="8"/>
      <c r="N47" s="9"/>
    </row>
    <row r="48" spans="1:14" x14ac:dyDescent="0.25">
      <c r="A48" s="32" t="s">
        <v>388</v>
      </c>
      <c r="B48" s="33" t="s">
        <v>390</v>
      </c>
      <c r="C48" s="8"/>
      <c r="D48" s="8"/>
      <c r="E48" s="8"/>
      <c r="F48" s="9"/>
      <c r="H48" s="46" t="s">
        <v>19</v>
      </c>
      <c r="I48" s="41">
        <v>18</v>
      </c>
      <c r="J48" s="8"/>
      <c r="K48" s="8"/>
      <c r="L48" s="8"/>
      <c r="M48" s="8"/>
      <c r="N48" s="9"/>
    </row>
    <row r="49" spans="1:14" x14ac:dyDescent="0.25">
      <c r="A49" s="44" t="s">
        <v>104</v>
      </c>
      <c r="B49" s="41">
        <v>1</v>
      </c>
      <c r="C49" s="8"/>
      <c r="D49" s="8"/>
      <c r="E49" s="8"/>
      <c r="F49" s="9"/>
      <c r="H49" s="45" t="s">
        <v>29</v>
      </c>
      <c r="I49" s="42">
        <v>48</v>
      </c>
      <c r="J49" s="8"/>
      <c r="K49" s="8"/>
      <c r="L49" s="8"/>
      <c r="M49" s="8"/>
      <c r="N49" s="9"/>
    </row>
    <row r="50" spans="1:14" x14ac:dyDescent="0.25">
      <c r="A50" s="44" t="s">
        <v>129</v>
      </c>
      <c r="B50" s="42">
        <v>1</v>
      </c>
      <c r="C50" s="8"/>
      <c r="D50" s="8"/>
      <c r="E50" s="8"/>
      <c r="F50" s="9"/>
      <c r="H50" s="34" t="s">
        <v>389</v>
      </c>
      <c r="I50" s="43">
        <v>66</v>
      </c>
      <c r="J50" s="8"/>
      <c r="K50" s="8"/>
      <c r="L50" s="8"/>
      <c r="M50" s="8"/>
      <c r="N50" s="9"/>
    </row>
    <row r="51" spans="1:14" x14ac:dyDescent="0.25">
      <c r="A51" s="44" t="s">
        <v>47</v>
      </c>
      <c r="B51" s="42">
        <v>2</v>
      </c>
      <c r="C51" s="8"/>
      <c r="D51" s="8"/>
      <c r="E51" s="8"/>
      <c r="F51" s="9"/>
      <c r="H51" s="7"/>
      <c r="I51" s="8"/>
      <c r="J51" s="8"/>
      <c r="K51" s="8"/>
      <c r="L51" s="8"/>
      <c r="M51" s="8"/>
      <c r="N51" s="9"/>
    </row>
    <row r="52" spans="1:14" x14ac:dyDescent="0.25">
      <c r="A52" s="44" t="s">
        <v>76</v>
      </c>
      <c r="B52" s="42">
        <v>3</v>
      </c>
      <c r="C52" s="8"/>
      <c r="D52" s="8"/>
      <c r="E52" s="8"/>
      <c r="F52" s="9"/>
      <c r="H52" s="7"/>
      <c r="I52" s="8"/>
      <c r="J52" s="8"/>
      <c r="K52" s="8"/>
      <c r="L52" s="8"/>
      <c r="M52" s="8"/>
      <c r="N52" s="9"/>
    </row>
    <row r="53" spans="1:14" x14ac:dyDescent="0.25">
      <c r="A53" s="44" t="s">
        <v>61</v>
      </c>
      <c r="B53" s="42">
        <v>19</v>
      </c>
      <c r="C53" s="8"/>
      <c r="D53" s="8"/>
      <c r="E53" s="8"/>
      <c r="F53" s="9"/>
      <c r="H53" s="7"/>
      <c r="I53" s="8"/>
      <c r="J53" s="8"/>
      <c r="K53" s="8"/>
      <c r="L53" s="8"/>
      <c r="M53" s="8"/>
      <c r="N53" s="9"/>
    </row>
    <row r="54" spans="1:14" x14ac:dyDescent="0.25">
      <c r="A54" s="45" t="s">
        <v>30</v>
      </c>
      <c r="B54" s="42">
        <v>30</v>
      </c>
      <c r="C54" s="8"/>
      <c r="D54" s="8"/>
      <c r="E54" s="8"/>
      <c r="F54" s="9"/>
      <c r="H54" s="7"/>
      <c r="I54" s="8"/>
      <c r="J54" s="8"/>
      <c r="K54" s="8"/>
      <c r="L54" s="8"/>
      <c r="M54" s="8"/>
      <c r="N54" s="9"/>
    </row>
    <row r="55" spans="1:14" x14ac:dyDescent="0.25">
      <c r="A55" s="45" t="s">
        <v>389</v>
      </c>
      <c r="B55" s="43">
        <v>56</v>
      </c>
      <c r="C55" s="8"/>
      <c r="D55" s="8"/>
      <c r="E55" s="8"/>
      <c r="F55" s="9"/>
      <c r="H55" s="7"/>
      <c r="I55" s="8"/>
      <c r="J55" s="8"/>
      <c r="K55" s="8"/>
      <c r="L55" s="8"/>
      <c r="M55" s="8"/>
      <c r="N55" s="9"/>
    </row>
    <row r="56" spans="1:14" x14ac:dyDescent="0.25">
      <c r="A56" s="7"/>
      <c r="B56" s="8"/>
      <c r="C56" s="8"/>
      <c r="D56" s="8"/>
      <c r="E56" s="8"/>
      <c r="F56" s="9"/>
      <c r="H56" s="13"/>
      <c r="I56" s="14"/>
      <c r="J56" s="14"/>
      <c r="K56" s="14"/>
      <c r="L56" s="14"/>
      <c r="M56" s="14"/>
      <c r="N56" s="15"/>
    </row>
    <row r="57" spans="1:14" x14ac:dyDescent="0.25">
      <c r="A57" s="7"/>
      <c r="B57" s="8"/>
      <c r="C57" s="8"/>
      <c r="D57" s="8"/>
      <c r="E57" s="8"/>
      <c r="F57" s="9"/>
    </row>
    <row r="58" spans="1:14" x14ac:dyDescent="0.25">
      <c r="A58" s="7"/>
      <c r="B58" s="8"/>
      <c r="C58" s="8"/>
      <c r="D58" s="8"/>
      <c r="E58" s="8"/>
      <c r="F58" s="9"/>
    </row>
    <row r="59" spans="1:14" x14ac:dyDescent="0.25">
      <c r="A59" s="7"/>
      <c r="B59" s="8"/>
      <c r="C59" s="8"/>
      <c r="D59" s="8"/>
      <c r="E59" s="8"/>
      <c r="F59" s="9"/>
    </row>
    <row r="60" spans="1:14" x14ac:dyDescent="0.25">
      <c r="A60" s="7"/>
      <c r="B60" s="8"/>
      <c r="C60" s="8"/>
      <c r="D60" s="8"/>
      <c r="E60" s="8"/>
      <c r="F60" s="9"/>
    </row>
    <row r="61" spans="1:14" x14ac:dyDescent="0.25">
      <c r="A61" s="7"/>
      <c r="B61" s="8"/>
      <c r="C61" s="8"/>
      <c r="D61" s="8"/>
      <c r="E61" s="8"/>
      <c r="F61" s="9"/>
    </row>
    <row r="62" spans="1:14" x14ac:dyDescent="0.25">
      <c r="A62" s="13"/>
      <c r="B62" s="14"/>
      <c r="C62" s="14"/>
      <c r="D62" s="14"/>
      <c r="E62" s="14"/>
      <c r="F62" s="15"/>
    </row>
  </sheetData>
  <mergeCells count="6">
    <mergeCell ref="A1:F1"/>
    <mergeCell ref="A12:H12"/>
    <mergeCell ref="A27:E27"/>
    <mergeCell ref="A47:E47"/>
    <mergeCell ref="H30:M30"/>
    <mergeCell ref="H46:N46"/>
  </mergeCells>
  <conditionalFormatting sqref="H78:H83">
    <cfRule type="top10" dxfId="68" priority="1" rank="10"/>
  </conditionalFormatting>
  <pageMargins left="0.7" right="0.7" top="0.75" bottom="0.75" header="0.3" footer="0.3"/>
  <pageSetup paperSize="9" orientation="portrait" horizontalDpi="0" verticalDpi="0" r:id="rId10"/>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J7:N7"/>
  <sheetViews>
    <sheetView showGridLines="0" tabSelected="1" zoomScale="70" zoomScaleNormal="70" workbookViewId="0">
      <selection activeCell="R37" sqref="R37"/>
    </sheetView>
  </sheetViews>
  <sheetFormatPr defaultRowHeight="15" x14ac:dyDescent="0.25"/>
  <sheetData>
    <row r="7" spans="10:14" ht="19.5" x14ac:dyDescent="0.25">
      <c r="J7" s="49"/>
      <c r="K7" s="50"/>
      <c r="N7" s="5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DATASET</vt:lpstr>
      <vt:lpstr>SHEET DESIGN</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2026-07-23T13:50:42Z</dcterms:created>
  <dcterms:modified xsi:type="dcterms:W3CDTF">2026-07-26T11:14:50Z</dcterms:modified>
</cp:coreProperties>
</file>